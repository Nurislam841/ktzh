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13350" yWindow="0" windowWidth="7605" windowHeight="8805"/>
  </bookViews>
  <sheets>
    <sheet name="1" sheetId="1" r:id="rId1"/>
    <sheet name="2" sheetId="4" r:id="rId2"/>
  </sheets>
  <externalReferences>
    <externalReference r:id="rId3"/>
  </externalReferences>
  <definedNames>
    <definedName name="_xlnm._FilterDatabase" localSheetId="0" hidden="1">'1'!$A$8:$BQ$23</definedName>
    <definedName name="_xlnm._FilterDatabase" localSheetId="1" hidden="1">'2'!$A$8:$DO$22</definedName>
    <definedName name="НДС">'[1]Признак НДС'!$B$3:$B$4</definedName>
    <definedName name="_xlnm.Print_Area" localSheetId="0">'1'!$A$1:$U$27</definedName>
    <definedName name="_xlnm.Print_Area" localSheetId="1">'2'!$A$1:$BU$23</definedName>
    <definedName name="осн" localSheetId="1">#REF!</definedName>
    <definedName name="осн">#REF!</definedName>
    <definedName name="Приоритет_закупок" localSheetId="1">#REF!</definedName>
    <definedName name="Приоритет_закупок">#REF!</definedName>
    <definedName name="Способ_закупок" localSheetId="1">#REF!</definedName>
    <definedName name="Способ_закупок">#REF!</definedName>
  </definedNames>
  <calcPr calcId="144525"/>
</workbook>
</file>

<file path=xl/calcChain.xml><?xml version="1.0" encoding="utf-8"?>
<calcChain xmlns="http://schemas.openxmlformats.org/spreadsheetml/2006/main">
  <c r="BL23" i="4" l="1"/>
  <c r="BU23" i="4" s="1"/>
  <c r="Y23" i="4"/>
  <c r="BU22" i="4"/>
  <c r="BP22" i="4"/>
  <c r="BO22" i="4"/>
  <c r="BN22" i="4"/>
  <c r="AA22" i="4"/>
  <c r="AB22" i="4" s="1"/>
  <c r="BU21" i="4"/>
  <c r="BP21" i="4"/>
  <c r="BN21" i="4"/>
  <c r="BO21" i="4" s="1"/>
  <c r="AA21" i="4"/>
  <c r="AB21" i="4" s="1"/>
  <c r="BU20" i="4"/>
  <c r="BP20" i="4"/>
  <c r="BN20" i="4"/>
  <c r="BU19" i="4"/>
  <c r="BP19" i="4"/>
  <c r="BN19" i="4"/>
  <c r="BO19" i="4" s="1"/>
  <c r="AA19" i="4"/>
  <c r="AB19" i="4" s="1"/>
  <c r="BU18" i="4"/>
  <c r="BP18" i="4"/>
  <c r="BN18" i="4"/>
  <c r="BO18" i="4" s="1"/>
  <c r="AA18" i="4"/>
  <c r="AB18" i="4" s="1"/>
  <c r="BU17" i="4"/>
  <c r="BP17" i="4"/>
  <c r="BN17" i="4"/>
  <c r="BO17" i="4" s="1"/>
  <c r="AA17" i="4"/>
  <c r="AB17" i="4" s="1"/>
  <c r="BU16" i="4"/>
  <c r="BP16" i="4"/>
  <c r="BN16" i="4"/>
  <c r="BO16" i="4" s="1"/>
  <c r="AA16" i="4"/>
  <c r="AB16" i="4" s="1"/>
  <c r="BU15" i="4"/>
  <c r="BN15" i="4"/>
  <c r="BO15" i="4" s="1"/>
  <c r="AA15" i="4"/>
  <c r="AB15" i="4" s="1"/>
  <c r="BU14" i="4"/>
  <c r="BP14" i="4"/>
  <c r="BN14" i="4"/>
  <c r="BO14" i="4" s="1"/>
  <c r="AB14" i="4"/>
  <c r="AA14" i="4"/>
  <c r="BU13" i="4"/>
  <c r="BP13" i="4"/>
  <c r="BN13" i="4"/>
  <c r="BO13" i="4" s="1"/>
  <c r="AA13" i="4"/>
  <c r="AB13" i="4" s="1"/>
  <c r="BP12" i="4"/>
  <c r="BN12" i="4"/>
  <c r="BO12" i="4" s="1"/>
  <c r="AA12" i="4"/>
  <c r="AB12" i="4" s="1"/>
  <c r="BU11" i="4"/>
  <c r="BP11" i="4"/>
  <c r="BN11" i="4"/>
  <c r="BO11" i="4" s="1"/>
  <c r="AA11" i="4"/>
  <c r="AB11" i="4" s="1"/>
  <c r="BU10" i="4"/>
  <c r="BP10" i="4"/>
  <c r="BN10" i="4"/>
  <c r="BN23" i="4" s="1"/>
  <c r="AA10" i="4"/>
  <c r="AA23" i="4" s="1"/>
  <c r="BU9" i="4"/>
  <c r="BP9" i="4"/>
  <c r="BP23" i="4" s="1"/>
  <c r="BN9" i="4"/>
  <c r="BO9" i="4" s="1"/>
  <c r="AA9" i="4"/>
  <c r="AB9" i="4" s="1"/>
  <c r="BO10" i="4" l="1"/>
  <c r="BO23" i="4" s="1"/>
  <c r="AB10" i="4"/>
  <c r="AB23" i="4" s="1"/>
</calcChain>
</file>

<file path=xl/sharedStrings.xml><?xml version="1.0" encoding="utf-8"?>
<sst xmlns="http://schemas.openxmlformats.org/spreadsheetml/2006/main" count="514" uniqueCount="184">
  <si>
    <r>
      <t xml:space="preserve">Идентификатор из внешней системы                                     </t>
    </r>
    <r>
      <rPr>
        <i/>
        <sz val="10"/>
        <color indexed="8"/>
        <rFont val="Times New Roman"/>
        <family val="1"/>
        <charset val="204"/>
      </rPr>
      <t>(необязательное поле)</t>
    </r>
  </si>
  <si>
    <t>Тип действия</t>
  </si>
  <si>
    <t>Причина исключения</t>
  </si>
  <si>
    <t>№</t>
  </si>
  <si>
    <t xml:space="preserve">Наименование закупаемых товаров, работ и услуг </t>
  </si>
  <si>
    <t xml:space="preserve">Краткая характеристика (описание) </t>
  </si>
  <si>
    <t>Способ закупок</t>
  </si>
  <si>
    <t>Основание проведения закупок ОИ/ТКП/ВХК</t>
  </si>
  <si>
    <t>Приоритет закупки</t>
  </si>
  <si>
    <t>Прогноз местного содержания, %</t>
  </si>
  <si>
    <t>Код КАТО места осуществления закупки</t>
  </si>
  <si>
    <t xml:space="preserve">Адрес осуществления закупок </t>
  </si>
  <si>
    <t>Страна поставки</t>
  </si>
  <si>
    <t>Код КАТО места поставки ТРУ</t>
  </si>
  <si>
    <t>Условия поставки по ИНКОТЕРМС 2010</t>
  </si>
  <si>
    <t>Условия оплаты</t>
  </si>
  <si>
    <t>Признак Рассчитать без НДС</t>
  </si>
  <si>
    <t>Заполняется в случае осуществления переходящей закупки на 2021 год</t>
  </si>
  <si>
    <t>БИН организатора</t>
  </si>
  <si>
    <t>Дополнительная характеристика работ и услуг</t>
  </si>
  <si>
    <t>Дополнительная характеристика товаров</t>
  </si>
  <si>
    <t>Примечание 1 (с 2 по 47ст.)</t>
  </si>
  <si>
    <t>Организатор закупок</t>
  </si>
  <si>
    <t>Инициатор</t>
  </si>
  <si>
    <t>Исключенная сумма, планируемая для закупки (без НДС), тенге</t>
  </si>
  <si>
    <t>Исключенная сумма, планируемая для закупки (с НДС), тенге</t>
  </si>
  <si>
    <t>Элемент затрат</t>
  </si>
  <si>
    <t>Укрупненная группировка номенклатурных позиций</t>
  </si>
  <si>
    <t>Вид закупки</t>
  </si>
  <si>
    <t xml:space="preserve">Примечание (изменение в столбцах с 49 по 56) </t>
  </si>
  <si>
    <t>Первоочередные закупки</t>
  </si>
  <si>
    <t>Причина внесения изменений</t>
  </si>
  <si>
    <t>Уровень критичности</t>
  </si>
  <si>
    <t>РЕЕСТР ТПХ и ОИН (Заполняется на товары)</t>
  </si>
  <si>
    <t>Заказчик (Департаменты ГП)</t>
  </si>
  <si>
    <t>Исполнитель заказчика</t>
  </si>
  <si>
    <t>№ и дата Приказа утверждения ПЗ</t>
  </si>
  <si>
    <t>Исх. письма от заказчика</t>
  </si>
  <si>
    <t>С даты подписания договора в течение</t>
  </si>
  <si>
    <t>Определенный период</t>
  </si>
  <si>
    <t>Кол-во, объем</t>
  </si>
  <si>
    <t>Маркетинговая цена за единицу, тенге без НДС</t>
  </si>
  <si>
    <t>Сумма, планируемая для закупок ТРУ без НДС,  тенге</t>
  </si>
  <si>
    <t>Сумма,  планируемая для закупки ТРУ с НДС,  тенге</t>
  </si>
  <si>
    <t>на казахском</t>
  </si>
  <si>
    <t>на русском</t>
  </si>
  <si>
    <t>Атрибут 1</t>
  </si>
  <si>
    <t>Атрибут 2</t>
  </si>
  <si>
    <t>Атрибут 3</t>
  </si>
  <si>
    <t>Количество</t>
  </si>
  <si>
    <t>Сумма, тенге с НДС</t>
  </si>
  <si>
    <t xml:space="preserve">% от годового закупа по проекту бюджета </t>
  </si>
  <si>
    <t>Кол-во дней</t>
  </si>
  <si>
    <t>Тип дней</t>
  </si>
  <si>
    <t>Месяц по</t>
  </si>
  <si>
    <t>Месяц с</t>
  </si>
  <si>
    <t>Предоплата, %</t>
  </si>
  <si>
    <t>Промежуточный платеж (по факту), %</t>
  </si>
  <si>
    <t>Окончательный платеж, %</t>
  </si>
  <si>
    <t>наименование</t>
  </si>
  <si>
    <t>значение на каз</t>
  </si>
  <si>
    <t>значение на рус</t>
  </si>
  <si>
    <t>1</t>
  </si>
  <si>
    <t>2</t>
  </si>
  <si>
    <t>3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</si>
  <si>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</si>
  <si>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</si>
  <si>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</si>
  <si>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</si>
  <si>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</si>
  <si>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</si>
  <si>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</si>
  <si>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</si>
  <si>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</si>
  <si>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</si>
  <si>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</si>
  <si>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</si>
  <si>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</si>
  <si>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</si>
  <si>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</si>
  <si>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22</t>
  </si>
  <si>
    <t>23</t>
  </si>
  <si>
    <t>24</t>
  </si>
  <si>
    <t>25</t>
  </si>
  <si>
    <t>26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</si>
  <si>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</si>
  <si>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</si>
  <si>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</si>
  <si>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</si>
  <si>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</si>
  <si>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</si>
  <si>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</si>
  <si>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</si>
  <si>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</si>
  <si>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</si>
  <si>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</si>
  <si>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</si>
  <si>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</si>
  <si>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</si>
  <si>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</si>
  <si>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</si>
  <si>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</si>
  <si>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</si>
  <si>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</si>
  <si>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</si>
  <si>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</si>
  <si>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</si>
  <si>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</si>
  <si>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</si>
  <si>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</si>
  <si>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</si>
  <si>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</si>
  <si>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</si>
  <si>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</si>
  <si>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</si>
  <si>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</si>
  <si>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</si>
  <si>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</si>
  <si>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</si>
  <si>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</si>
  <si>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</si>
  <si>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</si>
  <si>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</si>
  <si>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</si>
  <si>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KZ</t>
  </si>
  <si>
    <t>С НДС</t>
  </si>
  <si>
    <t>добавить</t>
  </si>
  <si>
    <t>г.Нур-Султан, ул. Кунаева 10</t>
  </si>
  <si>
    <t>ТОО "Пассажирские локомотивы"</t>
  </si>
  <si>
    <t>131140004956</t>
  </si>
  <si>
    <t>г.Алматы</t>
  </si>
  <si>
    <t>Услуга</t>
  </si>
  <si>
    <t>ОРУ сторонние</t>
  </si>
  <si>
    <t>Услуги по экипировке локомотивов песком</t>
  </si>
  <si>
    <t>Құммен жабдықтау бойынша қызмет АОТ/581-10 «Локомотивтерді құммен жабдықтау бойынша, Техникалық талабы» сәйкес</t>
  </si>
  <si>
    <t>Услуги по экипировке локомотивов песком согласно инструкции АОТ/581-10 «Технические требования к песку для песочниц локомотивов»</t>
  </si>
  <si>
    <t>Услуги по экипировке подвижного состава</t>
  </si>
  <si>
    <t>ТЛТ-Департамент ремонта, эксплуатации и безопасности движения</t>
  </si>
  <si>
    <t>Керимбеков К. Б. (ТЛТ)
Тел: 611-928</t>
  </si>
  <si>
    <t>ОТТ</t>
  </si>
  <si>
    <t xml:space="preserve"> </t>
  </si>
  <si>
    <t xml:space="preserve">  г.Арысь</t>
  </si>
  <si>
    <t xml:space="preserve">  г.Шу</t>
  </si>
  <si>
    <t xml:space="preserve">  ст.Актогай</t>
  </si>
  <si>
    <t xml:space="preserve"> г. Семей</t>
  </si>
  <si>
    <t xml:space="preserve"> г.Усть-Каменогорск</t>
  </si>
  <si>
    <t xml:space="preserve">  г.Павлодар</t>
  </si>
  <si>
    <t xml:space="preserve"> пос.Саксаульск</t>
  </si>
  <si>
    <t>ИТОГО</t>
  </si>
  <si>
    <r>
      <t xml:space="preserve">Сроки поставки товаров, выполнения работ, оказания услуг </t>
    </r>
    <r>
      <rPr>
        <i/>
        <sz val="12"/>
        <color indexed="8"/>
        <rFont val="Times New Roman"/>
        <family val="1"/>
        <charset val="204"/>
      </rPr>
      <t>(заполнить одно из трех значений)</t>
    </r>
  </si>
  <si>
    <t>г.Караганда (Моинты,Балхаш)</t>
  </si>
  <si>
    <t xml:space="preserve">  пос. Тобол</t>
  </si>
  <si>
    <t>Годовой план на 2022г.</t>
  </si>
  <si>
    <t>остаток объемов песка по договору (тонн)</t>
  </si>
  <si>
    <t>Сумма без НДС,  тенге</t>
  </si>
  <si>
    <t>Сумма с НДС,  тенге</t>
  </si>
  <si>
    <t>Годовой объем</t>
  </si>
  <si>
    <t>Исполнение  за 4 месяца</t>
  </si>
  <si>
    <t xml:space="preserve">Адрес поставки товара </t>
  </si>
  <si>
    <t xml:space="preserve">Исполнение в %  </t>
  </si>
  <si>
    <t>факт          за 1 месяцев</t>
  </si>
  <si>
    <t>г.Кокшетау</t>
  </si>
  <si>
    <t>г.Костанай</t>
  </si>
  <si>
    <t xml:space="preserve"> г. Астана</t>
  </si>
  <si>
    <t>Справка по исполнению Договора по экипировке локомотивов песком за 2023 год</t>
  </si>
  <si>
    <t>факт исполнение за 1 месяц 2023г.</t>
  </si>
  <si>
    <t>ст.Мангыстау</t>
  </si>
  <si>
    <t>ст.Бейнеу</t>
  </si>
  <si>
    <t>ст.Есиль</t>
  </si>
  <si>
    <t>Пункты экипировок песком</t>
  </si>
  <si>
    <t xml:space="preserve"> ст. Астана</t>
  </si>
  <si>
    <t>ст.Кокшетау</t>
  </si>
  <si>
    <t xml:space="preserve"> ст. Тобол</t>
  </si>
  <si>
    <t>ст.Костанай</t>
  </si>
  <si>
    <t>ст.Алматы</t>
  </si>
  <si>
    <t xml:space="preserve">  ст.Арысь</t>
  </si>
  <si>
    <t xml:space="preserve">  ст.Шу</t>
  </si>
  <si>
    <t xml:space="preserve"> ст.Семей</t>
  </si>
  <si>
    <t xml:space="preserve">  ст.Павлодар</t>
  </si>
  <si>
    <t xml:space="preserve"> ст.Саксаульск</t>
  </si>
  <si>
    <t>ст.Атырау</t>
  </si>
  <si>
    <t xml:space="preserve"> ст.Оскемен</t>
  </si>
  <si>
    <t>ст.Моинты, ст.Балхаш</t>
  </si>
  <si>
    <t>ст.Балхаш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</si>
</sst>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\ _₸_-;\-* #,##0.00\ _₸_-;_-* &quot;-&quot;??\ _₸_-;_-@_-"/>
    <numFmt numFmtId="164" formatCode="_-* #,##0.00_-;\-* #,##0.00_-;_-* &quot;-&quot;??_-;_-@_-"/>
    <numFmt numFmtId="165" formatCode="0;[Red]0"/>
    <numFmt numFmtId="166" formatCode="0.00;[Red]0.00"/>
    <numFmt numFmtId="167" formatCode="#,##0.000;[Red]#,##0.000"/>
    <numFmt numFmtId="168" formatCode="#,##0.00;[Red]#,##0.00"/>
    <numFmt numFmtId="169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i/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scheme val="minor"/>
    </font>
    <font>
      <i/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3" fillId="0" borderId="0"/>
    <xf numFmtId="0" fontId="3" fillId="0" borderId="0"/>
    <xf numFmtId="43" fontId="9" fillId="0" borderId="0" applyFont="0" applyFill="0" applyBorder="0" applyAlignment="0" applyProtection="0"/>
    <xf numFmtId="0" fontId="2" fillId="0" borderId="0"/>
    <xf numFmtId="0" fontId="10" fillId="0" borderId="0"/>
    <xf numFmtId="164" fontId="1" fillId="0" borderId="0" applyFont="0" applyFill="0" applyBorder="0" applyAlignment="0" applyProtection="0"/>
    <xf numFmtId="169" fontId="11" fillId="0" borderId="0" applyFont="0" applyFill="0" applyBorder="0" applyAlignment="0" applyProtection="0"/>
  </cellStyleXfs>
  <cellXfs count="110">
    <xf numFmtId="0" fontId="0" fillId="0" borderId="0" xfId="0"/>
    <xf numFmtId="49" fontId="0" fillId="6" borderId="0" xfId="0" applyNumberFormat="1" applyFill="1"/>
    <xf numFmtId="49" fontId="7" fillId="6" borderId="0" xfId="0" applyNumberFormat="1" applyFont="1" applyFill="1" applyAlignment="1">
      <alignment wrapText="1"/>
    </xf>
    <xf numFmtId="49" fontId="4" fillId="6" borderId="0" xfId="0" applyNumberFormat="1" applyFont="1" applyFill="1" applyAlignment="1">
      <alignment horizontal="center" vertical="center"/>
    </xf>
    <xf numFmtId="49" fontId="0" fillId="6" borderId="0" xfId="0" applyNumberFormat="1" applyFill="1" applyBorder="1"/>
    <xf numFmtId="49" fontId="7" fillId="6" borderId="0" xfId="0" applyNumberFormat="1" applyFont="1" applyFill="1" applyBorder="1" applyAlignment="1">
      <alignment wrapText="1"/>
    </xf>
    <xf numFmtId="49" fontId="4" fillId="6" borderId="0" xfId="0" applyNumberFormat="1" applyFont="1" applyFill="1" applyBorder="1" applyAlignment="1">
      <alignment horizontal="center" vertical="center"/>
    </xf>
    <xf numFmtId="0" fontId="0" fillId="0" borderId="0" xfId="0" applyBorder="1"/>
    <xf numFmtId="49" fontId="4" fillId="2" borderId="1" xfId="0" applyNumberFormat="1" applyFont="1" applyFill="1" applyBorder="1" applyAlignment="1">
      <alignment horizontal="center" vertical="center"/>
    </xf>
    <xf numFmtId="165" fontId="6" fillId="3" borderId="1" xfId="1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" fontId="6" fillId="4" borderId="1" xfId="1" applyNumberFormat="1" applyFont="1" applyFill="1" applyBorder="1" applyAlignment="1">
      <alignment horizontal="center" vertical="center"/>
    </xf>
    <xf numFmtId="165" fontId="6" fillId="4" borderId="1" xfId="1" applyNumberFormat="1" applyFont="1" applyFill="1" applyBorder="1" applyAlignment="1">
      <alignment horizontal="center" vertical="center"/>
    </xf>
    <xf numFmtId="165" fontId="6" fillId="5" borderId="1" xfId="1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0" borderId="0" xfId="0" applyFill="1" applyBorder="1"/>
    <xf numFmtId="4" fontId="0" fillId="0" borderId="0" xfId="0" applyNumberFormat="1" applyFill="1" applyAlignment="1">
      <alignment horizontal="center" vertical="center"/>
    </xf>
    <xf numFmtId="4" fontId="4" fillId="2" borderId="1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6" fontId="8" fillId="0" borderId="1" xfId="4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/>
    </xf>
    <xf numFmtId="165" fontId="8" fillId="6" borderId="1" xfId="4" applyNumberFormat="1" applyFont="1" applyFill="1" applyBorder="1" applyAlignment="1">
      <alignment horizontal="center" vertical="center" wrapText="1"/>
    </xf>
    <xf numFmtId="166" fontId="8" fillId="6" borderId="1" xfId="4" applyNumberFormat="1" applyFont="1" applyFill="1" applyBorder="1" applyAlignment="1">
      <alignment horizontal="center" vertical="center" wrapText="1"/>
    </xf>
    <xf numFmtId="167" fontId="8" fillId="6" borderId="1" xfId="3" applyNumberFormat="1" applyFont="1" applyFill="1" applyBorder="1" applyAlignment="1">
      <alignment horizontal="center" vertical="center"/>
    </xf>
    <xf numFmtId="4" fontId="8" fillId="6" borderId="1" xfId="4" applyNumberFormat="1" applyFont="1" applyFill="1" applyBorder="1" applyAlignment="1">
      <alignment horizontal="center" vertical="center" wrapText="1"/>
    </xf>
    <xf numFmtId="0" fontId="0" fillId="0" borderId="1" xfId="0" applyFill="1" applyBorder="1"/>
    <xf numFmtId="0" fontId="0" fillId="6" borderId="1" xfId="0" applyFill="1" applyBorder="1"/>
    <xf numFmtId="168" fontId="0" fillId="0" borderId="0" xfId="0" applyNumberFormat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165" fontId="12" fillId="0" borderId="1" xfId="0" applyNumberFormat="1" applyFont="1" applyFill="1" applyBorder="1" applyAlignment="1">
      <alignment horizontal="center" vertical="center" wrapText="1"/>
    </xf>
    <xf numFmtId="166" fontId="12" fillId="0" borderId="1" xfId="4" applyNumberFormat="1" applyFont="1" applyFill="1" applyBorder="1" applyAlignment="1">
      <alignment horizontal="center" vertical="center" wrapText="1"/>
    </xf>
    <xf numFmtId="166" fontId="12" fillId="6" borderId="1" xfId="4" applyNumberFormat="1" applyFont="1" applyFill="1" applyBorder="1" applyAlignment="1">
      <alignment horizontal="center" vertical="center" wrapText="1"/>
    </xf>
    <xf numFmtId="165" fontId="12" fillId="6" borderId="1" xfId="4" applyNumberFormat="1" applyFont="1" applyFill="1" applyBorder="1" applyAlignment="1">
      <alignment horizontal="center" vertical="center" wrapText="1"/>
    </xf>
    <xf numFmtId="49" fontId="12" fillId="6" borderId="1" xfId="0" applyNumberFormat="1" applyFont="1" applyFill="1" applyBorder="1" applyAlignment="1">
      <alignment horizontal="center" vertical="center" wrapText="1"/>
    </xf>
    <xf numFmtId="168" fontId="12" fillId="0" borderId="1" xfId="3" applyNumberFormat="1" applyFont="1" applyFill="1" applyBorder="1" applyAlignment="1">
      <alignment horizontal="center" vertical="center"/>
    </xf>
    <xf numFmtId="168" fontId="12" fillId="6" borderId="1" xfId="3" applyNumberFormat="1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165" fontId="12" fillId="6" borderId="1" xfId="2" applyNumberFormat="1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/>
    </xf>
    <xf numFmtId="166" fontId="8" fillId="0" borderId="2" xfId="4" applyNumberFormat="1" applyFont="1" applyFill="1" applyBorder="1" applyAlignment="1">
      <alignment horizontal="center" vertical="center" wrapText="1"/>
    </xf>
    <xf numFmtId="49" fontId="4" fillId="0" borderId="5" xfId="0" applyNumberFormat="1" applyFont="1" applyFill="1" applyBorder="1" applyAlignment="1">
      <alignment horizontal="center" vertical="center"/>
    </xf>
    <xf numFmtId="0" fontId="12" fillId="0" borderId="5" xfId="5" applyFont="1" applyFill="1" applyBorder="1" applyAlignment="1">
      <alignment horizontal="center" vertical="center" wrapText="1"/>
    </xf>
    <xf numFmtId="0" fontId="16" fillId="0" borderId="7" xfId="0" applyFont="1" applyBorder="1"/>
    <xf numFmtId="168" fontId="16" fillId="0" borderId="7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4" fontId="16" fillId="0" borderId="7" xfId="0" applyNumberFormat="1" applyFont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0" fillId="6" borderId="1" xfId="0" applyNumberFormat="1" applyFill="1" applyBorder="1" applyAlignment="1"/>
    <xf numFmtId="168" fontId="13" fillId="0" borderId="1" xfId="0" applyNumberFormat="1" applyFont="1" applyFill="1" applyBorder="1" applyAlignment="1">
      <alignment horizontal="center" vertical="center"/>
    </xf>
    <xf numFmtId="0" fontId="0" fillId="0" borderId="7" xfId="0" applyBorder="1"/>
    <xf numFmtId="166" fontId="16" fillId="0" borderId="7" xfId="0" applyNumberFormat="1" applyFont="1" applyBorder="1" applyAlignment="1">
      <alignment horizontal="center" vertical="center"/>
    </xf>
    <xf numFmtId="49" fontId="17" fillId="0" borderId="1" xfId="0" applyNumberFormat="1" applyFont="1" applyFill="1" applyBorder="1" applyAlignment="1">
      <alignment horizontal="center" vertical="center" wrapText="1"/>
    </xf>
    <xf numFmtId="49" fontId="17" fillId="6" borderId="6" xfId="0" applyNumberFormat="1" applyFont="1" applyFill="1" applyBorder="1" applyAlignment="1">
      <alignment horizontal="center" vertical="center"/>
    </xf>
    <xf numFmtId="0" fontId="12" fillId="6" borderId="5" xfId="5" applyFont="1" applyFill="1" applyBorder="1" applyAlignment="1">
      <alignment horizontal="center" vertical="center" wrapText="1"/>
    </xf>
    <xf numFmtId="165" fontId="12" fillId="6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165" fontId="20" fillId="0" borderId="0" xfId="1" applyNumberFormat="1" applyFont="1" applyFill="1" applyBorder="1" applyAlignment="1">
      <alignment vertical="center" wrapText="1"/>
    </xf>
    <xf numFmtId="0" fontId="0" fillId="0" borderId="16" xfId="0" applyFill="1" applyBorder="1"/>
    <xf numFmtId="1" fontId="17" fillId="0" borderId="8" xfId="0" applyNumberFormat="1" applyFont="1" applyBorder="1" applyAlignment="1">
      <alignment horizontal="center" vertical="center"/>
    </xf>
    <xf numFmtId="2" fontId="16" fillId="0" borderId="7" xfId="0" applyNumberFormat="1" applyFont="1" applyBorder="1" applyAlignment="1">
      <alignment horizontal="center" vertical="center"/>
    </xf>
    <xf numFmtId="49" fontId="17" fillId="0" borderId="1" xfId="0" applyNumberFormat="1" applyFont="1" applyFill="1" applyBorder="1" applyAlignment="1">
      <alignment horizontal="center" vertical="center" wrapText="1"/>
    </xf>
    <xf numFmtId="2" fontId="13" fillId="6" borderId="1" xfId="2" applyNumberFormat="1" applyFont="1" applyFill="1" applyBorder="1" applyAlignment="1">
      <alignment horizontal="center" vertical="center"/>
    </xf>
    <xf numFmtId="0" fontId="13" fillId="6" borderId="1" xfId="2" applyFont="1" applyFill="1" applyBorder="1" applyAlignment="1">
      <alignment horizontal="center" vertical="center"/>
    </xf>
    <xf numFmtId="1" fontId="13" fillId="0" borderId="6" xfId="0" applyNumberFormat="1" applyFont="1" applyFill="1" applyBorder="1" applyAlignment="1">
      <alignment horizontal="center" vertical="center"/>
    </xf>
    <xf numFmtId="1" fontId="13" fillId="6" borderId="6" xfId="0" applyNumberFormat="1" applyFont="1" applyFill="1" applyBorder="1" applyAlignment="1">
      <alignment horizontal="center" vertical="center"/>
    </xf>
    <xf numFmtId="165" fontId="8" fillId="6" borderId="0" xfId="4" applyNumberFormat="1" applyFont="1" applyFill="1" applyBorder="1" applyAlignment="1">
      <alignment horizontal="center" vertical="center" wrapText="1"/>
    </xf>
    <xf numFmtId="166" fontId="8" fillId="0" borderId="0" xfId="4" applyNumberFormat="1" applyFont="1" applyFill="1" applyBorder="1" applyAlignment="1">
      <alignment horizontal="center" vertical="center" wrapText="1"/>
    </xf>
    <xf numFmtId="0" fontId="12" fillId="0" borderId="17" xfId="5" applyFont="1" applyFill="1" applyBorder="1" applyAlignment="1">
      <alignment horizontal="center" vertical="center" wrapText="1"/>
    </xf>
    <xf numFmtId="0" fontId="12" fillId="0" borderId="18" xfId="0" applyFont="1" applyFill="1" applyBorder="1" applyAlignment="1">
      <alignment horizontal="center" vertical="center" wrapText="1"/>
    </xf>
    <xf numFmtId="165" fontId="12" fillId="0" borderId="18" xfId="0" applyNumberFormat="1" applyFont="1" applyFill="1" applyBorder="1" applyAlignment="1">
      <alignment horizontal="center" vertical="center" wrapText="1"/>
    </xf>
    <xf numFmtId="166" fontId="12" fillId="0" borderId="18" xfId="4" applyNumberFormat="1" applyFont="1" applyFill="1" applyBorder="1" applyAlignment="1">
      <alignment horizontal="center" vertical="center" wrapText="1"/>
    </xf>
    <xf numFmtId="166" fontId="12" fillId="6" borderId="18" xfId="4" applyNumberFormat="1" applyFont="1" applyFill="1" applyBorder="1" applyAlignment="1">
      <alignment horizontal="center" vertical="center" wrapText="1"/>
    </xf>
    <xf numFmtId="165" fontId="12" fillId="6" borderId="18" xfId="4" applyNumberFormat="1" applyFont="1" applyFill="1" applyBorder="1" applyAlignment="1">
      <alignment horizontal="center" vertical="center" wrapText="1"/>
    </xf>
    <xf numFmtId="165" fontId="12" fillId="6" borderId="18" xfId="2" applyNumberFormat="1" applyFont="1" applyFill="1" applyBorder="1" applyAlignment="1">
      <alignment horizontal="center" vertical="center" wrapText="1"/>
    </xf>
    <xf numFmtId="49" fontId="12" fillId="6" borderId="18" xfId="0" applyNumberFormat="1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6" borderId="18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/>
    </xf>
    <xf numFmtId="49" fontId="17" fillId="0" borderId="4" xfId="0" applyNumberFormat="1" applyFont="1" applyFill="1" applyBorder="1" applyAlignment="1">
      <alignment horizontal="center" vertical="center" wrapText="1"/>
    </xf>
    <xf numFmtId="49" fontId="17" fillId="0" borderId="1" xfId="0" applyNumberFormat="1" applyFont="1" applyFill="1" applyBorder="1" applyAlignment="1">
      <alignment horizontal="center" vertical="center" wrapText="1"/>
    </xf>
    <xf numFmtId="49" fontId="17" fillId="2" borderId="4" xfId="0" applyNumberFormat="1" applyFont="1" applyFill="1" applyBorder="1" applyAlignment="1">
      <alignment horizontal="center" vertical="center" wrapText="1"/>
    </xf>
    <xf numFmtId="49" fontId="17" fillId="2" borderId="1" xfId="0" applyNumberFormat="1" applyFont="1" applyFill="1" applyBorder="1" applyAlignment="1">
      <alignment horizontal="center" vertical="center" wrapText="1"/>
    </xf>
    <xf numFmtId="0" fontId="16" fillId="0" borderId="10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49" fontId="17" fillId="0" borderId="3" xfId="0" applyNumberFormat="1" applyFont="1" applyFill="1" applyBorder="1" applyAlignment="1">
      <alignment horizontal="center" vertical="center" wrapText="1"/>
    </xf>
    <xf numFmtId="49" fontId="17" fillId="0" borderId="5" xfId="0" applyNumberFormat="1" applyFont="1" applyFill="1" applyBorder="1" applyAlignment="1">
      <alignment horizontal="center" vertical="center" wrapText="1"/>
    </xf>
    <xf numFmtId="49" fontId="16" fillId="0" borderId="4" xfId="0" applyNumberFormat="1" applyFont="1" applyFill="1" applyBorder="1" applyAlignment="1">
      <alignment horizontal="center" vertical="center" wrapText="1"/>
    </xf>
    <xf numFmtId="165" fontId="20" fillId="0" borderId="4" xfId="1" applyNumberFormat="1" applyFont="1" applyFill="1" applyBorder="1" applyAlignment="1">
      <alignment horizontal="center" vertical="center" wrapText="1"/>
    </xf>
    <xf numFmtId="165" fontId="20" fillId="0" borderId="1" xfId="1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165" fontId="20" fillId="0" borderId="11" xfId="1" applyNumberFormat="1" applyFont="1" applyFill="1" applyBorder="1" applyAlignment="1">
      <alignment horizontal="center" vertical="center" wrapText="1"/>
    </xf>
    <xf numFmtId="49" fontId="16" fillId="0" borderId="11" xfId="0" applyNumberFormat="1" applyFont="1" applyFill="1" applyBorder="1" applyAlignment="1">
      <alignment horizontal="center" vertical="center"/>
    </xf>
    <xf numFmtId="49" fontId="16" fillId="0" borderId="12" xfId="0" applyNumberFormat="1" applyFont="1" applyFill="1" applyBorder="1" applyAlignment="1">
      <alignment horizontal="center" vertical="center"/>
    </xf>
    <xf numFmtId="49" fontId="16" fillId="0" borderId="13" xfId="0" applyNumberFormat="1" applyFont="1" applyFill="1" applyBorder="1" applyAlignment="1">
      <alignment horizontal="center" vertical="center"/>
    </xf>
    <xf numFmtId="4" fontId="17" fillId="0" borderId="1" xfId="0" applyNumberFormat="1" applyFont="1" applyFill="1" applyBorder="1" applyAlignment="1">
      <alignment horizontal="center" vertical="center" wrapText="1"/>
    </xf>
    <xf numFmtId="165" fontId="20" fillId="0" borderId="15" xfId="1" applyNumberFormat="1" applyFont="1" applyFill="1" applyBorder="1" applyAlignment="1">
      <alignment horizontal="center" vertical="center" wrapText="1"/>
    </xf>
    <xf numFmtId="4" fontId="20" fillId="0" borderId="1" xfId="1" applyNumberFormat="1" applyFont="1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/>
    </xf>
    <xf numFmtId="49" fontId="17" fillId="6" borderId="14" xfId="0" applyNumberFormat="1" applyFont="1" applyFill="1" applyBorder="1" applyAlignment="1">
      <alignment horizontal="center" vertical="center" wrapText="1"/>
    </xf>
    <xf numFmtId="49" fontId="17" fillId="6" borderId="9" xfId="0" applyNumberFormat="1" applyFont="1" applyFill="1" applyBorder="1" applyAlignment="1">
      <alignment horizontal="center" vertical="center" wrapText="1"/>
    </xf>
    <xf numFmtId="49" fontId="17" fillId="6" borderId="1" xfId="0" applyNumberFormat="1" applyFont="1" applyFill="1" applyBorder="1" applyAlignment="1">
      <alignment horizontal="center" vertical="center" wrapText="1"/>
    </xf>
    <xf numFmtId="49" fontId="18" fillId="6" borderId="1" xfId="0" applyNumberFormat="1" applyFont="1" applyFill="1" applyBorder="1" applyAlignment="1">
      <alignment horizontal="center"/>
    </xf>
  </cellXfs>
  <cellStyles count="8">
    <cellStyle name="Обычный" xfId="0" builtinId="0"/>
    <cellStyle name="Обычный 18" xfId="4"/>
    <cellStyle name="Обычный 2" xfId="2"/>
    <cellStyle name="Обычный 2 3" xfId="5"/>
    <cellStyle name="Обычный 8" xfId="1"/>
    <cellStyle name="Финансовый 2 10" xfId="7"/>
    <cellStyle name="Финансовый 2 3" xfId="3"/>
    <cellStyle name="Финансовый 3 2" xfId="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artaev_B/AppData/Local/Microsoft/Windows/Temporary%20Internet%20Files/Content.Outlook/HKOMI2UZ/&#1061;&#1080;&#1083;&#1083;%2020-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сол"/>
      <sheetName val="Циатим "/>
      <sheetName val="ОСП"/>
      <sheetName val="СТП-3"/>
      <sheetName val="ЖРО"/>
      <sheetName val="Осевое Л"/>
      <sheetName val="осевое З"/>
      <sheetName val="К19"/>
      <sheetName val="М 14 В 2 "/>
      <sheetName val="Масла и смазки"/>
      <sheetName val="Справочник Инкотермс"/>
      <sheetName val="Тип дней"/>
      <sheetName val="Вид предоплаты"/>
      <sheetName val="Вид промежуточного платежа"/>
      <sheetName val="Признак НДС"/>
      <sheetName val="Лист2"/>
      <sheetName val="Лист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B3" t="str">
            <v>С НДС</v>
          </cell>
        </row>
        <row r="4">
          <cell r="B4" t="str">
            <v>Без НДС</v>
          </cell>
        </row>
      </sheetData>
      <sheetData sheetId="15"/>
      <sheetData sheetId="16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8"/>
  <sheetViews>
    <sheetView tabSelected="1" view="pageBreakPreview" topLeftCell="D3" zoomScale="59" zoomScaleNormal="70" zoomScaleSheetLayoutView="59" workbookViewId="0">
      <selection activeCell="N27" sqref="N27"/>
    </sheetView>
  </sheetViews>
  <sheetFormatPr defaultRowHeight="15" x14ac:dyDescent="0.25"/>
  <cols>
    <col min="1" max="3" width="0" style="16" hidden="1" customWidth="1"/>
    <col min="4" max="4" width="5.85546875" style="16" customWidth="1"/>
    <col min="5" max="5" width="11.85546875" style="16" hidden="1" customWidth="1"/>
    <col min="6" max="6" width="19.7109375" style="16" hidden="1" customWidth="1"/>
    <col min="7" max="7" width="17.7109375" style="16" hidden="1" customWidth="1"/>
    <col min="8" max="8" width="18.28515625" style="16" hidden="1" customWidth="1"/>
    <col min="9" max="9" width="8.85546875" style="16" hidden="1" customWidth="1"/>
    <col min="10" max="10" width="14.5703125" style="16" hidden="1" customWidth="1"/>
    <col min="11" max="11" width="11" style="16" hidden="1" customWidth="1"/>
    <col min="12" max="12" width="8.85546875" hidden="1" customWidth="1"/>
    <col min="13" max="13" width="15.5703125" hidden="1" customWidth="1"/>
    <col min="14" max="14" width="25.7109375" customWidth="1"/>
    <col min="15" max="23" width="19.7109375" hidden="1" customWidth="1"/>
    <col min="24" max="69" width="8.85546875" style="7"/>
  </cols>
  <sheetData>
    <row r="1" spans="1:69" s="16" customFormat="1" hidden="1" x14ac:dyDescent="0.25"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</row>
    <row r="2" spans="1:69" s="16" customFormat="1" ht="22.5" hidden="1" x14ac:dyDescent="0.3"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</row>
    <row r="3" spans="1:69" s="16" customFormat="1" ht="24.75" customHeight="1" x14ac:dyDescent="0.3"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</row>
    <row r="4" spans="1:69" s="16" customFormat="1" ht="15.75" thickBot="1" x14ac:dyDescent="0.3"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</row>
    <row r="5" spans="1:69" s="1" customFormat="1" ht="42" customHeight="1" x14ac:dyDescent="0.25">
      <c r="A5" s="90" t="s">
        <v>0</v>
      </c>
      <c r="B5" s="90" t="s">
        <v>1</v>
      </c>
      <c r="C5" s="91" t="s">
        <v>2</v>
      </c>
      <c r="D5" s="92" t="s">
        <v>3</v>
      </c>
      <c r="E5" s="83" t="s">
        <v>5</v>
      </c>
      <c r="F5" s="83" t="s">
        <v>6</v>
      </c>
      <c r="G5" s="83" t="s">
        <v>7</v>
      </c>
      <c r="H5" s="83" t="s">
        <v>8</v>
      </c>
      <c r="I5" s="83" t="s">
        <v>9</v>
      </c>
      <c r="J5" s="83" t="s">
        <v>10</v>
      </c>
      <c r="K5" s="83" t="s">
        <v>11</v>
      </c>
      <c r="L5" s="85" t="s">
        <v>12</v>
      </c>
      <c r="M5" s="85" t="s">
        <v>13</v>
      </c>
      <c r="N5" s="83" t="s">
        <v>169</v>
      </c>
      <c r="O5" s="83" t="s">
        <v>14</v>
      </c>
      <c r="P5" s="83" t="s">
        <v>149</v>
      </c>
      <c r="Q5" s="83"/>
      <c r="R5" s="83"/>
      <c r="S5" s="83"/>
      <c r="T5" s="83" t="s">
        <v>15</v>
      </c>
      <c r="U5" s="83"/>
      <c r="V5" s="83"/>
      <c r="W5" s="83" t="s">
        <v>16</v>
      </c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</row>
    <row r="6" spans="1:69" s="1" customFormat="1" ht="37.9" customHeight="1" x14ac:dyDescent="0.25">
      <c r="A6" s="90"/>
      <c r="B6" s="90"/>
      <c r="C6" s="91"/>
      <c r="D6" s="93"/>
      <c r="E6" s="84"/>
      <c r="F6" s="84"/>
      <c r="G6" s="84"/>
      <c r="H6" s="84"/>
      <c r="I6" s="84"/>
      <c r="J6" s="84"/>
      <c r="K6" s="84"/>
      <c r="L6" s="86"/>
      <c r="M6" s="86"/>
      <c r="N6" s="84"/>
      <c r="O6" s="84"/>
      <c r="P6" s="84" t="s">
        <v>38</v>
      </c>
      <c r="Q6" s="84"/>
      <c r="R6" s="84" t="s">
        <v>39</v>
      </c>
      <c r="S6" s="84"/>
      <c r="T6" s="84"/>
      <c r="U6" s="84"/>
      <c r="V6" s="84"/>
      <c r="W6" s="8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</row>
    <row r="7" spans="1:69" s="2" customFormat="1" ht="45" customHeight="1" x14ac:dyDescent="0.25">
      <c r="A7" s="90"/>
      <c r="B7" s="90"/>
      <c r="C7" s="91"/>
      <c r="D7" s="93"/>
      <c r="E7" s="84"/>
      <c r="F7" s="84"/>
      <c r="G7" s="84"/>
      <c r="H7" s="84"/>
      <c r="I7" s="84"/>
      <c r="J7" s="84"/>
      <c r="K7" s="84"/>
      <c r="L7" s="86"/>
      <c r="M7" s="86"/>
      <c r="N7" s="84"/>
      <c r="O7" s="84"/>
      <c r="P7" s="56" t="s">
        <v>52</v>
      </c>
      <c r="Q7" s="56" t="s">
        <v>53</v>
      </c>
      <c r="R7" s="56" t="s">
        <v>55</v>
      </c>
      <c r="S7" s="56" t="s">
        <v>54</v>
      </c>
      <c r="T7" s="56" t="s">
        <v>56</v>
      </c>
      <c r="U7" s="56" t="s">
        <v>57</v>
      </c>
      <c r="V7" s="56" t="s">
        <v>58</v>
      </c>
      <c r="W7" s="84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</row>
    <row r="8" spans="1:69" s="3" customFormat="1" ht="19.899999999999999" hidden="1" customHeight="1" x14ac:dyDescent="0.25">
      <c r="A8" s="23" t="s">
        <v>62</v>
      </c>
      <c r="B8" s="23" t="s">
        <v>63</v>
      </c>
      <c r="C8" s="43" t="s">
        <v>64</v>
      </c>
      <c r="D8" s="45" t="s">
        <v>65</v>
      </c>
      <c r="E8" s="23" t="s">
        <v>67</v>
      </c>
      <c r="F8" s="23" t="s">
        <v>68</v>
      </c>
      <c r="G8" s="23" t="s">
        <v>69</v>
      </c>
      <c r="H8" s="23" t="s">
        <v>70</v>
      </c>
      <c r="I8" s="23" t="s">
        <v>71</v>
      </c>
      <c r="J8" s="23" t="s">
        <v>72</v>
      </c>
      <c r="K8" s="23" t="s">
        <v>73</v>
      </c>
      <c r="L8" s="8" t="s">
        <v>74</v>
      </c>
      <c r="M8" s="8" t="s">
        <v>75</v>
      </c>
      <c r="N8" s="8" t="s">
        <v>76</v>
      </c>
      <c r="O8" s="8" t="s">
        <v>77</v>
      </c>
      <c r="P8" s="8" t="s">
        <v>78</v>
      </c>
      <c r="Q8" s="8" t="s">
        <v>79</v>
      </c>
      <c r="R8" s="8" t="s">
        <v>80</v>
      </c>
      <c r="S8" s="8" t="s">
        <v>81</v>
      </c>
      <c r="T8" s="8" t="s">
        <v>82</v>
      </c>
      <c r="U8" s="8" t="s">
        <v>83</v>
      </c>
      <c r="V8" s="8" t="s">
        <v>84</v>
      </c>
      <c r="W8" s="8" t="s">
        <v>85</v>
      </c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</row>
    <row r="9" spans="1:69" s="18" customFormat="1" ht="48" customHeight="1" x14ac:dyDescent="0.25">
      <c r="A9" s="24"/>
      <c r="B9" s="22" t="s">
        <v>126</v>
      </c>
      <c r="C9" s="44"/>
      <c r="D9" s="46">
        <v>1</v>
      </c>
      <c r="E9" s="32" t="s">
        <v>133</v>
      </c>
      <c r="F9" s="33" t="s">
        <v>139</v>
      </c>
      <c r="G9" s="34"/>
      <c r="H9" s="35"/>
      <c r="I9" s="36">
        <v>100</v>
      </c>
      <c r="J9" s="36">
        <v>710000000</v>
      </c>
      <c r="K9" s="33" t="s">
        <v>127</v>
      </c>
      <c r="L9" s="35" t="s">
        <v>124</v>
      </c>
      <c r="M9" s="36">
        <v>710000000</v>
      </c>
      <c r="N9" s="35" t="s">
        <v>170</v>
      </c>
      <c r="O9" s="35"/>
      <c r="P9" s="35"/>
      <c r="Q9" s="35"/>
      <c r="R9" s="37"/>
      <c r="S9" s="37"/>
      <c r="T9" s="36"/>
      <c r="U9" s="36"/>
      <c r="V9" s="36">
        <v>100</v>
      </c>
      <c r="W9" s="35" t="s">
        <v>125</v>
      </c>
    </row>
    <row r="10" spans="1:69" s="18" customFormat="1" ht="48.75" customHeight="1" x14ac:dyDescent="0.25">
      <c r="A10" s="24"/>
      <c r="B10" s="22" t="s">
        <v>126</v>
      </c>
      <c r="C10" s="44"/>
      <c r="D10" s="46">
        <v>2</v>
      </c>
      <c r="E10" s="32" t="s">
        <v>133</v>
      </c>
      <c r="F10" s="33" t="s">
        <v>139</v>
      </c>
      <c r="G10" s="34"/>
      <c r="H10" s="35"/>
      <c r="I10" s="36">
        <v>100</v>
      </c>
      <c r="J10" s="36">
        <v>710000000</v>
      </c>
      <c r="K10" s="33" t="s">
        <v>127</v>
      </c>
      <c r="L10" s="35" t="s">
        <v>124</v>
      </c>
      <c r="M10" s="36">
        <v>116659100</v>
      </c>
      <c r="N10" s="35" t="s">
        <v>171</v>
      </c>
      <c r="O10" s="35"/>
      <c r="P10" s="35"/>
      <c r="Q10" s="35"/>
      <c r="R10" s="37"/>
      <c r="S10" s="37"/>
      <c r="T10" s="36"/>
      <c r="U10" s="36"/>
      <c r="V10" s="36">
        <v>100</v>
      </c>
      <c r="W10" s="35" t="s">
        <v>125</v>
      </c>
    </row>
    <row r="11" spans="1:69" s="18" customFormat="1" ht="48" customHeight="1" x14ac:dyDescent="0.25">
      <c r="A11" s="24"/>
      <c r="B11" s="22" t="s">
        <v>126</v>
      </c>
      <c r="C11" s="44"/>
      <c r="D11" s="46">
        <v>3</v>
      </c>
      <c r="E11" s="32" t="s">
        <v>133</v>
      </c>
      <c r="F11" s="33" t="s">
        <v>139</v>
      </c>
      <c r="G11" s="34"/>
      <c r="H11" s="35"/>
      <c r="I11" s="36">
        <v>100</v>
      </c>
      <c r="J11" s="42">
        <v>710000000</v>
      </c>
      <c r="K11" s="33" t="s">
        <v>127</v>
      </c>
      <c r="L11" s="35" t="s">
        <v>124</v>
      </c>
      <c r="M11" s="36">
        <v>396473100</v>
      </c>
      <c r="N11" s="35" t="s">
        <v>172</v>
      </c>
      <c r="O11" s="35"/>
      <c r="P11" s="35"/>
      <c r="Q11" s="35"/>
      <c r="R11" s="37"/>
      <c r="S11" s="37"/>
      <c r="T11" s="36"/>
      <c r="U11" s="36"/>
      <c r="V11" s="36">
        <v>100</v>
      </c>
      <c r="W11" s="35" t="s">
        <v>125</v>
      </c>
    </row>
    <row r="12" spans="1:69" s="18" customFormat="1" ht="48" customHeight="1" x14ac:dyDescent="0.25">
      <c r="A12" s="24"/>
      <c r="B12" s="22"/>
      <c r="C12" s="44"/>
      <c r="D12" s="46">
        <v>4</v>
      </c>
      <c r="E12" s="32"/>
      <c r="F12" s="33"/>
      <c r="G12" s="34"/>
      <c r="H12" s="35"/>
      <c r="I12" s="36"/>
      <c r="J12" s="42"/>
      <c r="K12" s="33"/>
      <c r="L12" s="35"/>
      <c r="M12" s="36"/>
      <c r="N12" s="35" t="s">
        <v>173</v>
      </c>
      <c r="O12" s="35"/>
      <c r="P12" s="35"/>
      <c r="Q12" s="35"/>
      <c r="R12" s="37"/>
      <c r="S12" s="37"/>
      <c r="T12" s="36"/>
      <c r="U12" s="36"/>
      <c r="V12" s="36"/>
      <c r="W12" s="35"/>
    </row>
    <row r="13" spans="1:69" s="18" customFormat="1" ht="48.75" customHeight="1" x14ac:dyDescent="0.25">
      <c r="A13" s="24"/>
      <c r="B13" s="22" t="s">
        <v>126</v>
      </c>
      <c r="C13" s="44"/>
      <c r="D13" s="58">
        <v>5</v>
      </c>
      <c r="E13" s="41" t="s">
        <v>133</v>
      </c>
      <c r="F13" s="59" t="s">
        <v>139</v>
      </c>
      <c r="G13" s="35"/>
      <c r="H13" s="35"/>
      <c r="I13" s="36">
        <v>100</v>
      </c>
      <c r="J13" s="36">
        <v>710000000</v>
      </c>
      <c r="K13" s="59" t="s">
        <v>127</v>
      </c>
      <c r="L13" s="35" t="s">
        <v>124</v>
      </c>
      <c r="M13" s="36">
        <v>750000000</v>
      </c>
      <c r="N13" s="35" t="s">
        <v>174</v>
      </c>
      <c r="O13" s="35"/>
      <c r="P13" s="35"/>
      <c r="Q13" s="35"/>
      <c r="R13" s="37"/>
      <c r="S13" s="37"/>
      <c r="T13" s="36"/>
      <c r="U13" s="36"/>
      <c r="V13" s="36">
        <v>100</v>
      </c>
      <c r="W13" s="35" t="s">
        <v>125</v>
      </c>
    </row>
    <row r="14" spans="1:69" s="18" customFormat="1" ht="48" customHeight="1" x14ac:dyDescent="0.25">
      <c r="A14" s="24"/>
      <c r="B14" s="22" t="s">
        <v>126</v>
      </c>
      <c r="C14" s="44"/>
      <c r="D14" s="58">
        <v>6</v>
      </c>
      <c r="E14" s="41" t="s">
        <v>133</v>
      </c>
      <c r="F14" s="59" t="s">
        <v>139</v>
      </c>
      <c r="G14" s="35"/>
      <c r="H14" s="35"/>
      <c r="I14" s="36">
        <v>100</v>
      </c>
      <c r="J14" s="42">
        <v>710000000</v>
      </c>
      <c r="K14" s="59" t="s">
        <v>127</v>
      </c>
      <c r="L14" s="35" t="s">
        <v>124</v>
      </c>
      <c r="M14" s="36">
        <v>511610000</v>
      </c>
      <c r="N14" s="35" t="s">
        <v>175</v>
      </c>
      <c r="O14" s="35"/>
      <c r="P14" s="35"/>
      <c r="Q14" s="35"/>
      <c r="R14" s="37"/>
      <c r="S14" s="37"/>
      <c r="T14" s="36"/>
      <c r="U14" s="36"/>
      <c r="V14" s="36">
        <v>100</v>
      </c>
      <c r="W14" s="35" t="s">
        <v>125</v>
      </c>
    </row>
    <row r="15" spans="1:69" s="18" customFormat="1" ht="48.75" customHeight="1" x14ac:dyDescent="0.25">
      <c r="A15" s="24"/>
      <c r="B15" s="22" t="s">
        <v>126</v>
      </c>
      <c r="C15" s="44"/>
      <c r="D15" s="58">
        <v>7</v>
      </c>
      <c r="E15" s="41" t="s">
        <v>133</v>
      </c>
      <c r="F15" s="59" t="s">
        <v>139</v>
      </c>
      <c r="G15" s="35"/>
      <c r="H15" s="35"/>
      <c r="I15" s="36">
        <v>100</v>
      </c>
      <c r="J15" s="42">
        <v>710000000</v>
      </c>
      <c r="K15" s="59" t="s">
        <v>127</v>
      </c>
      <c r="L15" s="35" t="s">
        <v>124</v>
      </c>
      <c r="M15" s="36">
        <v>316621100</v>
      </c>
      <c r="N15" s="35" t="s">
        <v>176</v>
      </c>
      <c r="O15" s="35"/>
      <c r="P15" s="35"/>
      <c r="Q15" s="35"/>
      <c r="R15" s="37"/>
      <c r="S15" s="37"/>
      <c r="T15" s="36"/>
      <c r="U15" s="36"/>
      <c r="V15" s="36">
        <v>100</v>
      </c>
      <c r="W15" s="35" t="s">
        <v>125</v>
      </c>
    </row>
    <row r="16" spans="1:69" s="18" customFormat="1" ht="48" customHeight="1" x14ac:dyDescent="0.25">
      <c r="A16" s="24"/>
      <c r="B16" s="22" t="s">
        <v>126</v>
      </c>
      <c r="C16" s="44"/>
      <c r="D16" s="58">
        <v>8</v>
      </c>
      <c r="E16" s="41" t="s">
        <v>133</v>
      </c>
      <c r="F16" s="59" t="s">
        <v>139</v>
      </c>
      <c r="G16" s="35"/>
      <c r="H16" s="35"/>
      <c r="I16" s="36">
        <v>100</v>
      </c>
      <c r="J16" s="42">
        <v>710000000</v>
      </c>
      <c r="K16" s="59" t="s">
        <v>127</v>
      </c>
      <c r="L16" s="35" t="s">
        <v>124</v>
      </c>
      <c r="M16" s="36">
        <v>633441000</v>
      </c>
      <c r="N16" s="35" t="s">
        <v>143</v>
      </c>
      <c r="O16" s="35"/>
      <c r="P16" s="35"/>
      <c r="Q16" s="35"/>
      <c r="R16" s="37"/>
      <c r="S16" s="37"/>
      <c r="T16" s="36"/>
      <c r="U16" s="36"/>
      <c r="V16" s="36">
        <v>100</v>
      </c>
      <c r="W16" s="35" t="s">
        <v>125</v>
      </c>
    </row>
    <row r="17" spans="1:23" s="18" customFormat="1" ht="48.75" customHeight="1" x14ac:dyDescent="0.25">
      <c r="A17" s="24"/>
      <c r="B17" s="22" t="s">
        <v>126</v>
      </c>
      <c r="C17" s="44"/>
      <c r="D17" s="58">
        <v>9</v>
      </c>
      <c r="E17" s="41" t="s">
        <v>133</v>
      </c>
      <c r="F17" s="59" t="s">
        <v>139</v>
      </c>
      <c r="G17" s="35"/>
      <c r="H17" s="35"/>
      <c r="I17" s="36">
        <v>100</v>
      </c>
      <c r="J17" s="42">
        <v>710000000</v>
      </c>
      <c r="K17" s="59" t="s">
        <v>127</v>
      </c>
      <c r="L17" s="35" t="s">
        <v>124</v>
      </c>
      <c r="M17" s="36">
        <v>632810000</v>
      </c>
      <c r="N17" s="35" t="s">
        <v>177</v>
      </c>
      <c r="O17" s="35"/>
      <c r="P17" s="35"/>
      <c r="Q17" s="35"/>
      <c r="R17" s="37"/>
      <c r="S17" s="37"/>
      <c r="T17" s="36"/>
      <c r="U17" s="36"/>
      <c r="V17" s="36">
        <v>100</v>
      </c>
      <c r="W17" s="35" t="s">
        <v>125</v>
      </c>
    </row>
    <row r="18" spans="1:23" s="18" customFormat="1" ht="48" customHeight="1" x14ac:dyDescent="0.25">
      <c r="A18" s="24"/>
      <c r="B18" s="22" t="s">
        <v>126</v>
      </c>
      <c r="C18" s="44"/>
      <c r="D18" s="58">
        <v>10</v>
      </c>
      <c r="E18" s="41" t="s">
        <v>133</v>
      </c>
      <c r="F18" s="59" t="s">
        <v>139</v>
      </c>
      <c r="G18" s="35"/>
      <c r="H18" s="35"/>
      <c r="I18" s="36">
        <v>100</v>
      </c>
      <c r="J18" s="36">
        <v>710000000</v>
      </c>
      <c r="K18" s="59" t="s">
        <v>127</v>
      </c>
      <c r="L18" s="35" t="s">
        <v>124</v>
      </c>
      <c r="M18" s="36">
        <v>396473100</v>
      </c>
      <c r="N18" s="35" t="s">
        <v>181</v>
      </c>
      <c r="O18" s="35"/>
      <c r="P18" s="35"/>
      <c r="Q18" s="35"/>
      <c r="R18" s="37"/>
      <c r="S18" s="37"/>
      <c r="T18" s="36"/>
      <c r="U18" s="36"/>
      <c r="V18" s="36">
        <v>100</v>
      </c>
      <c r="W18" s="35" t="s">
        <v>125</v>
      </c>
    </row>
    <row r="19" spans="1:23" s="18" customFormat="1" ht="57" customHeight="1" x14ac:dyDescent="0.25">
      <c r="A19" s="24"/>
      <c r="B19" s="22" t="s">
        <v>126</v>
      </c>
      <c r="C19" s="44"/>
      <c r="D19" s="58">
        <v>11</v>
      </c>
      <c r="E19" s="41" t="s">
        <v>133</v>
      </c>
      <c r="F19" s="59" t="s">
        <v>139</v>
      </c>
      <c r="G19" s="35"/>
      <c r="H19" s="35"/>
      <c r="I19" s="36">
        <v>100</v>
      </c>
      <c r="J19" s="42">
        <v>710000000</v>
      </c>
      <c r="K19" s="59" t="s">
        <v>127</v>
      </c>
      <c r="L19" s="35" t="s">
        <v>124</v>
      </c>
      <c r="M19" s="36">
        <v>356471100</v>
      </c>
      <c r="N19" s="35" t="s">
        <v>182</v>
      </c>
      <c r="O19" s="35"/>
      <c r="P19" s="35"/>
      <c r="Q19" s="35"/>
      <c r="R19" s="37"/>
      <c r="S19" s="37"/>
      <c r="T19" s="36"/>
      <c r="U19" s="36"/>
      <c r="V19" s="36">
        <v>100</v>
      </c>
      <c r="W19" s="35" t="s">
        <v>125</v>
      </c>
    </row>
    <row r="20" spans="1:23" s="18" customFormat="1" ht="77.25" hidden="1" customHeight="1" x14ac:dyDescent="0.25">
      <c r="A20" s="24"/>
      <c r="B20" s="22"/>
      <c r="C20" s="44"/>
      <c r="D20" s="58"/>
      <c r="E20" s="41"/>
      <c r="F20" s="59"/>
      <c r="G20" s="35"/>
      <c r="H20" s="35"/>
      <c r="I20" s="36"/>
      <c r="J20" s="42"/>
      <c r="K20" s="59"/>
      <c r="L20" s="35"/>
      <c r="M20" s="36"/>
      <c r="N20" s="35"/>
      <c r="O20" s="35"/>
      <c r="P20" s="35"/>
      <c r="Q20" s="35"/>
      <c r="R20" s="37"/>
      <c r="S20" s="37"/>
      <c r="T20" s="36"/>
      <c r="U20" s="36"/>
      <c r="V20" s="36"/>
      <c r="W20" s="35"/>
    </row>
    <row r="21" spans="1:23" s="18" customFormat="1" ht="57" customHeight="1" x14ac:dyDescent="0.25">
      <c r="A21" s="24"/>
      <c r="B21" s="22" t="s">
        <v>126</v>
      </c>
      <c r="C21" s="44"/>
      <c r="D21" s="58">
        <v>12</v>
      </c>
      <c r="E21" s="41" t="s">
        <v>133</v>
      </c>
      <c r="F21" s="59" t="s">
        <v>139</v>
      </c>
      <c r="G21" s="35"/>
      <c r="H21" s="35"/>
      <c r="I21" s="36">
        <v>100</v>
      </c>
      <c r="J21" s="42">
        <v>710000000</v>
      </c>
      <c r="K21" s="59" t="s">
        <v>127</v>
      </c>
      <c r="L21" s="35" t="s">
        <v>124</v>
      </c>
      <c r="M21" s="36">
        <v>356471100</v>
      </c>
      <c r="N21" s="35" t="s">
        <v>183</v>
      </c>
      <c r="O21" s="35"/>
      <c r="P21" s="35"/>
      <c r="Q21" s="35"/>
      <c r="R21" s="37"/>
      <c r="S21" s="37"/>
      <c r="T21" s="36"/>
      <c r="U21" s="36"/>
      <c r="V21" s="36">
        <v>100</v>
      </c>
      <c r="W21" s="35" t="s">
        <v>125</v>
      </c>
    </row>
    <row r="22" spans="1:23" s="18" customFormat="1" ht="48" customHeight="1" x14ac:dyDescent="0.25">
      <c r="A22" s="24"/>
      <c r="B22" s="22" t="s">
        <v>126</v>
      </c>
      <c r="C22" s="44"/>
      <c r="D22" s="58">
        <v>13</v>
      </c>
      <c r="E22" s="41" t="s">
        <v>133</v>
      </c>
      <c r="F22" s="59" t="s">
        <v>139</v>
      </c>
      <c r="G22" s="35"/>
      <c r="H22" s="35"/>
      <c r="I22" s="36">
        <v>100</v>
      </c>
      <c r="J22" s="42">
        <v>710000000</v>
      </c>
      <c r="K22" s="59" t="s">
        <v>127</v>
      </c>
      <c r="L22" s="35" t="s">
        <v>124</v>
      </c>
      <c r="M22" s="36">
        <v>551010000</v>
      </c>
      <c r="N22" s="35" t="s">
        <v>178</v>
      </c>
      <c r="O22" s="35"/>
      <c r="P22" s="35"/>
      <c r="Q22" s="35"/>
      <c r="R22" s="37"/>
      <c r="S22" s="37"/>
      <c r="T22" s="36"/>
      <c r="U22" s="36"/>
      <c r="V22" s="36">
        <v>100</v>
      </c>
      <c r="W22" s="35" t="s">
        <v>125</v>
      </c>
    </row>
    <row r="23" spans="1:23" s="18" customFormat="1" ht="48" customHeight="1" x14ac:dyDescent="0.25">
      <c r="A23" s="24"/>
      <c r="B23" s="22" t="s">
        <v>126</v>
      </c>
      <c r="C23" s="44"/>
      <c r="D23" s="46">
        <v>14</v>
      </c>
      <c r="E23" s="32" t="s">
        <v>133</v>
      </c>
      <c r="F23" s="33" t="s">
        <v>139</v>
      </c>
      <c r="G23" s="34"/>
      <c r="H23" s="35"/>
      <c r="I23" s="36">
        <v>100</v>
      </c>
      <c r="J23" s="42">
        <v>710000000</v>
      </c>
      <c r="K23" s="33" t="s">
        <v>127</v>
      </c>
      <c r="L23" s="35" t="s">
        <v>124</v>
      </c>
      <c r="M23" s="36">
        <v>433257100</v>
      </c>
      <c r="N23" s="35" t="s">
        <v>179</v>
      </c>
      <c r="O23" s="35"/>
      <c r="P23" s="35"/>
      <c r="Q23" s="35"/>
      <c r="R23" s="37"/>
      <c r="S23" s="37"/>
      <c r="T23" s="36"/>
      <c r="U23" s="36"/>
      <c r="V23" s="36">
        <v>100</v>
      </c>
      <c r="W23" s="35" t="s">
        <v>125</v>
      </c>
    </row>
    <row r="24" spans="1:23" s="18" customFormat="1" ht="48" customHeight="1" x14ac:dyDescent="0.25">
      <c r="A24" s="70"/>
      <c r="B24" s="71"/>
      <c r="C24" s="71"/>
      <c r="D24" s="72">
        <v>15</v>
      </c>
      <c r="E24" s="73"/>
      <c r="F24" s="74"/>
      <c r="G24" s="75"/>
      <c r="H24" s="76"/>
      <c r="I24" s="77"/>
      <c r="J24" s="78"/>
      <c r="K24" s="74"/>
      <c r="L24" s="76"/>
      <c r="M24" s="77"/>
      <c r="N24" s="80" t="s">
        <v>180</v>
      </c>
      <c r="O24" s="76"/>
      <c r="P24" s="76"/>
      <c r="Q24" s="76"/>
      <c r="R24" s="79"/>
      <c r="S24" s="79"/>
      <c r="T24" s="77"/>
      <c r="U24" s="77"/>
      <c r="V24" s="77"/>
      <c r="W24" s="76"/>
    </row>
    <row r="25" spans="1:23" s="18" customFormat="1" ht="48" customHeight="1" x14ac:dyDescent="0.25">
      <c r="A25" s="70"/>
      <c r="B25" s="71"/>
      <c r="C25" s="71"/>
      <c r="D25" s="72">
        <v>16</v>
      </c>
      <c r="E25" s="73"/>
      <c r="F25" s="74"/>
      <c r="G25" s="75"/>
      <c r="H25" s="76"/>
      <c r="I25" s="77"/>
      <c r="J25" s="78"/>
      <c r="K25" s="74"/>
      <c r="L25" s="76"/>
      <c r="M25" s="77"/>
      <c r="N25" s="80" t="s">
        <v>166</v>
      </c>
      <c r="O25" s="76"/>
      <c r="P25" s="76"/>
      <c r="Q25" s="76"/>
      <c r="R25" s="79"/>
      <c r="S25" s="79"/>
      <c r="T25" s="77"/>
      <c r="U25" s="77"/>
      <c r="V25" s="77"/>
      <c r="W25" s="76"/>
    </row>
    <row r="26" spans="1:23" s="18" customFormat="1" ht="48" customHeight="1" x14ac:dyDescent="0.25">
      <c r="A26" s="70"/>
      <c r="B26" s="71"/>
      <c r="C26" s="71"/>
      <c r="D26" s="72">
        <v>17</v>
      </c>
      <c r="E26" s="73"/>
      <c r="F26" s="74"/>
      <c r="G26" s="75"/>
      <c r="H26" s="76"/>
      <c r="I26" s="77"/>
      <c r="J26" s="78"/>
      <c r="K26" s="74"/>
      <c r="L26" s="76"/>
      <c r="M26" s="77"/>
      <c r="N26" s="80" t="s">
        <v>167</v>
      </c>
      <c r="O26" s="76"/>
      <c r="P26" s="76"/>
      <c r="Q26" s="76"/>
      <c r="R26" s="79"/>
      <c r="S26" s="79"/>
      <c r="T26" s="77"/>
      <c r="U26" s="77"/>
      <c r="V26" s="77"/>
      <c r="W26" s="76"/>
    </row>
    <row r="27" spans="1:23" s="18" customFormat="1" ht="48" customHeight="1" x14ac:dyDescent="0.25">
      <c r="A27" s="70"/>
      <c r="B27" s="71"/>
      <c r="C27" s="71"/>
      <c r="D27" s="72">
        <v>18</v>
      </c>
      <c r="E27" s="73"/>
      <c r="F27" s="74"/>
      <c r="G27" s="75"/>
      <c r="H27" s="76"/>
      <c r="I27" s="77"/>
      <c r="J27" s="78"/>
      <c r="K27" s="74"/>
      <c r="L27" s="76"/>
      <c r="M27" s="77"/>
      <c r="N27" s="81" t="s">
        <v>168</v>
      </c>
      <c r="O27" s="76"/>
      <c r="P27" s="76"/>
      <c r="Q27" s="76"/>
      <c r="R27" s="79"/>
      <c r="S27" s="79"/>
      <c r="T27" s="77"/>
      <c r="U27" s="77"/>
      <c r="V27" s="77"/>
      <c r="W27" s="76"/>
    </row>
    <row r="28" spans="1:23" ht="38.25" customHeight="1" thickBot="1" x14ac:dyDescent="0.35">
      <c r="D28" s="87" t="s">
        <v>140</v>
      </c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47"/>
    </row>
  </sheetData>
  <autoFilter ref="A8:BQ23"/>
  <mergeCells count="23">
    <mergeCell ref="D28:V28"/>
    <mergeCell ref="E2:W2"/>
    <mergeCell ref="J5:J7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E3:W3"/>
    <mergeCell ref="K5:K7"/>
    <mergeCell ref="L5:L7"/>
    <mergeCell ref="M5:M7"/>
    <mergeCell ref="N5:N7"/>
    <mergeCell ref="O5:O7"/>
    <mergeCell ref="P5:S5"/>
    <mergeCell ref="T5:V6"/>
    <mergeCell ref="W5:W7"/>
    <mergeCell ref="P6:Q6"/>
    <mergeCell ref="R6:S6"/>
  </mergeCells>
  <dataValidations count="3">
    <dataValidation type="textLength" operator="equal" allowBlank="1" showInputMessage="1" showErrorMessage="1" error="Код КАТО должен содержать 9 символов" sqref="M9:M10 M18 J9:J27">
      <formula1>9</formula1>
    </dataValidation>
    <dataValidation type="whole" allowBlank="1" showInputMessage="1" showErrorMessage="1" sqref="I9:I27 T9:V27">
      <formula1>0</formula1>
      <formula2>100</formula2>
    </dataValidation>
    <dataValidation type="list" allowBlank="1" showInputMessage="1" showErrorMessage="1" sqref="F9:F27">
      <formula1>Способ_закупок</formula1>
    </dataValidation>
  </dataValidations>
  <pageMargins left="0.70866141732283472" right="0.70866141732283472" top="0.74803149606299213" bottom="0.74803149606299213" header="0.31496062992125984" footer="0.31496062992125984"/>
  <pageSetup paperSize="9" scale="4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148"/>
  <sheetViews>
    <sheetView view="pageBreakPreview" topLeftCell="D3" zoomScale="70" zoomScaleNormal="70" zoomScaleSheetLayoutView="70" workbookViewId="0">
      <selection activeCell="BZ13" sqref="BZ13"/>
    </sheetView>
  </sheetViews>
  <sheetFormatPr defaultRowHeight="15" x14ac:dyDescent="0.25"/>
  <cols>
    <col min="1" max="3" width="0" style="16" hidden="1" customWidth="1"/>
    <col min="4" max="4" width="5.85546875" style="16" customWidth="1"/>
    <col min="5" max="5" width="34.42578125" style="16" customWidth="1"/>
    <col min="6" max="6" width="11.85546875" style="16" hidden="1" customWidth="1"/>
    <col min="7" max="7" width="19.7109375" style="16" hidden="1" customWidth="1"/>
    <col min="8" max="8" width="17.7109375" style="16" hidden="1" customWidth="1"/>
    <col min="9" max="9" width="18.28515625" style="16" hidden="1" customWidth="1"/>
    <col min="10" max="10" width="8.85546875" style="16" hidden="1" customWidth="1"/>
    <col min="11" max="11" width="14.5703125" style="16" hidden="1" customWidth="1"/>
    <col min="12" max="12" width="11" style="16" hidden="1" customWidth="1"/>
    <col min="13" max="13" width="8.85546875" hidden="1" customWidth="1"/>
    <col min="14" max="14" width="15.5703125" hidden="1" customWidth="1"/>
    <col min="15" max="15" width="21.5703125" customWidth="1"/>
    <col min="16" max="24" width="19.7109375" hidden="1" customWidth="1"/>
    <col min="25" max="25" width="12.28515625" style="15" customWidth="1"/>
    <col min="26" max="26" width="13.7109375" style="15" customWidth="1"/>
    <col min="27" max="27" width="20.5703125" style="21" customWidth="1"/>
    <col min="28" max="28" width="19" style="15" customWidth="1"/>
    <col min="29" max="31" width="8.85546875" hidden="1" customWidth="1"/>
    <col min="32" max="32" width="14.42578125" hidden="1" customWidth="1"/>
    <col min="33" max="34" width="8.85546875" hidden="1" customWidth="1"/>
    <col min="35" max="35" width="13.5703125" hidden="1" customWidth="1"/>
    <col min="36" max="36" width="14" hidden="1" customWidth="1"/>
    <col min="37" max="38" width="13.7109375" hidden="1" customWidth="1"/>
    <col min="39" max="39" width="13.28515625" hidden="1" customWidth="1"/>
    <col min="40" max="40" width="11.28515625" hidden="1" customWidth="1"/>
    <col min="41" max="41" width="13.85546875" hidden="1" customWidth="1"/>
    <col min="42" max="42" width="14.42578125" hidden="1" customWidth="1"/>
    <col min="43" max="43" width="14.140625" hidden="1" customWidth="1"/>
    <col min="44" max="44" width="0" hidden="1" customWidth="1"/>
    <col min="45" max="45" width="11.28515625" hidden="1" customWidth="1"/>
    <col min="46" max="46" width="11.140625" hidden="1" customWidth="1"/>
    <col min="47" max="48" width="0" hidden="1" customWidth="1"/>
    <col min="49" max="49" width="10.85546875" hidden="1" customWidth="1"/>
    <col min="50" max="51" width="0" hidden="1" customWidth="1"/>
    <col min="52" max="52" width="11.28515625" hidden="1" customWidth="1"/>
    <col min="53" max="53" width="10.7109375" hidden="1" customWidth="1"/>
    <col min="54" max="54" width="0" hidden="1" customWidth="1"/>
    <col min="55" max="55" width="16.28515625" hidden="1" customWidth="1"/>
    <col min="56" max="56" width="0" hidden="1" customWidth="1"/>
    <col min="57" max="57" width="10" hidden="1" customWidth="1"/>
    <col min="58" max="58" width="12.28515625" hidden="1" customWidth="1"/>
    <col min="59" max="59" width="12.140625" hidden="1" customWidth="1"/>
    <col min="60" max="60" width="17" hidden="1" customWidth="1"/>
    <col min="61" max="61" width="12.42578125" hidden="1" customWidth="1"/>
    <col min="62" max="62" width="12.140625" style="7" hidden="1" customWidth="1"/>
    <col min="63" max="63" width="0" style="7" hidden="1" customWidth="1"/>
    <col min="64" max="64" width="10.85546875" style="7" customWidth="1"/>
    <col min="65" max="65" width="14.140625" style="7" customWidth="1"/>
    <col min="66" max="66" width="20.28515625" style="7" customWidth="1"/>
    <col min="67" max="67" width="18.28515625" style="7" customWidth="1"/>
    <col min="68" max="68" width="12.5703125" style="7" customWidth="1"/>
    <col min="69" max="69" width="11.5703125" style="7" hidden="1" customWidth="1"/>
    <col min="70" max="72" width="0" style="7" hidden="1" customWidth="1"/>
    <col min="73" max="73" width="14.7109375" style="7" customWidth="1"/>
    <col min="74" max="119" width="9.140625" style="7"/>
  </cols>
  <sheetData>
    <row r="1" spans="1:119" s="16" customFormat="1" hidden="1" x14ac:dyDescent="0.25">
      <c r="Y1" s="17"/>
      <c r="Z1" s="17"/>
      <c r="AA1" s="19"/>
      <c r="AB1" s="17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</row>
    <row r="2" spans="1:119" s="16" customFormat="1" ht="22.5" hidden="1" x14ac:dyDescent="0.3"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17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</row>
    <row r="3" spans="1:119" s="16" customFormat="1" ht="24.75" customHeight="1" x14ac:dyDescent="0.3">
      <c r="E3" s="82" t="s">
        <v>164</v>
      </c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2"/>
      <c r="BK3" s="82"/>
      <c r="BL3" s="82"/>
      <c r="BM3" s="82"/>
      <c r="BN3" s="82"/>
      <c r="BO3" s="82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</row>
    <row r="4" spans="1:119" s="16" customFormat="1" ht="15.75" thickBot="1" x14ac:dyDescent="0.3">
      <c r="Y4" s="17"/>
      <c r="Z4" s="17"/>
      <c r="AA4" s="19"/>
      <c r="AB4" s="17"/>
      <c r="AZ4" s="62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</row>
    <row r="5" spans="1:119" s="1" customFormat="1" ht="42" customHeight="1" x14ac:dyDescent="0.25">
      <c r="A5" s="90" t="s">
        <v>0</v>
      </c>
      <c r="B5" s="90" t="s">
        <v>1</v>
      </c>
      <c r="C5" s="91" t="s">
        <v>2</v>
      </c>
      <c r="D5" s="92" t="s">
        <v>3</v>
      </c>
      <c r="E5" s="83" t="s">
        <v>4</v>
      </c>
      <c r="F5" s="83" t="s">
        <v>5</v>
      </c>
      <c r="G5" s="83" t="s">
        <v>6</v>
      </c>
      <c r="H5" s="83" t="s">
        <v>7</v>
      </c>
      <c r="I5" s="83" t="s">
        <v>8</v>
      </c>
      <c r="J5" s="83" t="s">
        <v>9</v>
      </c>
      <c r="K5" s="83" t="s">
        <v>10</v>
      </c>
      <c r="L5" s="83" t="s">
        <v>11</v>
      </c>
      <c r="M5" s="85" t="s">
        <v>12</v>
      </c>
      <c r="N5" s="85" t="s">
        <v>13</v>
      </c>
      <c r="O5" s="83" t="s">
        <v>158</v>
      </c>
      <c r="P5" s="83" t="s">
        <v>14</v>
      </c>
      <c r="Q5" s="83" t="s">
        <v>149</v>
      </c>
      <c r="R5" s="83"/>
      <c r="S5" s="83"/>
      <c r="T5" s="83"/>
      <c r="U5" s="83" t="s">
        <v>15</v>
      </c>
      <c r="V5" s="83"/>
      <c r="W5" s="83"/>
      <c r="X5" s="83" t="s">
        <v>16</v>
      </c>
      <c r="Y5" s="94" t="s">
        <v>152</v>
      </c>
      <c r="Z5" s="94"/>
      <c r="AA5" s="94"/>
      <c r="AB5" s="94"/>
      <c r="AC5" s="83" t="s">
        <v>17</v>
      </c>
      <c r="AD5" s="83"/>
      <c r="AE5" s="83"/>
      <c r="AF5" s="83" t="s">
        <v>18</v>
      </c>
      <c r="AG5" s="83" t="s">
        <v>19</v>
      </c>
      <c r="AH5" s="83"/>
      <c r="AI5" s="83" t="s">
        <v>20</v>
      </c>
      <c r="AJ5" s="83"/>
      <c r="AK5" s="83"/>
      <c r="AL5" s="83"/>
      <c r="AM5" s="83"/>
      <c r="AN5" s="83"/>
      <c r="AO5" s="83"/>
      <c r="AP5" s="83"/>
      <c r="AQ5" s="83"/>
      <c r="AR5" s="95" t="s">
        <v>21</v>
      </c>
      <c r="AS5" s="95" t="s">
        <v>22</v>
      </c>
      <c r="AT5" s="95" t="s">
        <v>23</v>
      </c>
      <c r="AU5" s="95" t="s">
        <v>24</v>
      </c>
      <c r="AV5" s="95" t="s">
        <v>25</v>
      </c>
      <c r="AW5" s="95" t="s">
        <v>26</v>
      </c>
      <c r="AX5" s="95" t="s">
        <v>27</v>
      </c>
      <c r="AY5" s="98" t="s">
        <v>28</v>
      </c>
      <c r="AZ5" s="61" t="s">
        <v>140</v>
      </c>
      <c r="BA5" s="103" t="s">
        <v>29</v>
      </c>
      <c r="BB5" s="95" t="s">
        <v>30</v>
      </c>
      <c r="BC5" s="95"/>
      <c r="BD5" s="95"/>
      <c r="BE5" s="95" t="s">
        <v>31</v>
      </c>
      <c r="BF5" s="95" t="s">
        <v>32</v>
      </c>
      <c r="BG5" s="95" t="s">
        <v>33</v>
      </c>
      <c r="BH5" s="95" t="s">
        <v>34</v>
      </c>
      <c r="BI5" s="95" t="s">
        <v>35</v>
      </c>
      <c r="BJ5" s="95" t="s">
        <v>36</v>
      </c>
      <c r="BK5" s="95" t="s">
        <v>37</v>
      </c>
      <c r="BL5" s="99" t="s">
        <v>165</v>
      </c>
      <c r="BM5" s="100"/>
      <c r="BN5" s="100"/>
      <c r="BO5" s="100"/>
      <c r="BP5" s="100"/>
      <c r="BQ5" s="100"/>
      <c r="BR5" s="100"/>
      <c r="BS5" s="100"/>
      <c r="BT5" s="100"/>
      <c r="BU5" s="101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</row>
    <row r="6" spans="1:119" s="1" customFormat="1" ht="37.9" customHeight="1" x14ac:dyDescent="0.25">
      <c r="A6" s="90"/>
      <c r="B6" s="90"/>
      <c r="C6" s="91"/>
      <c r="D6" s="93"/>
      <c r="E6" s="84"/>
      <c r="F6" s="84"/>
      <c r="G6" s="84"/>
      <c r="H6" s="84"/>
      <c r="I6" s="84"/>
      <c r="J6" s="84"/>
      <c r="K6" s="84"/>
      <c r="L6" s="84"/>
      <c r="M6" s="86"/>
      <c r="N6" s="86"/>
      <c r="O6" s="84"/>
      <c r="P6" s="84"/>
      <c r="Q6" s="84" t="s">
        <v>38</v>
      </c>
      <c r="R6" s="84"/>
      <c r="S6" s="84" t="s">
        <v>39</v>
      </c>
      <c r="T6" s="84"/>
      <c r="U6" s="84"/>
      <c r="V6" s="84"/>
      <c r="W6" s="84"/>
      <c r="X6" s="84"/>
      <c r="Y6" s="84" t="s">
        <v>156</v>
      </c>
      <c r="Z6" s="84" t="s">
        <v>41</v>
      </c>
      <c r="AA6" s="102" t="s">
        <v>154</v>
      </c>
      <c r="AB6" s="84" t="s">
        <v>155</v>
      </c>
      <c r="AC6" s="84" t="s">
        <v>40</v>
      </c>
      <c r="AD6" s="84" t="s">
        <v>42</v>
      </c>
      <c r="AE6" s="84" t="s">
        <v>43</v>
      </c>
      <c r="AF6" s="84"/>
      <c r="AG6" s="84" t="s">
        <v>44</v>
      </c>
      <c r="AH6" s="84" t="s">
        <v>45</v>
      </c>
      <c r="AI6" s="84" t="s">
        <v>46</v>
      </c>
      <c r="AJ6" s="84"/>
      <c r="AK6" s="84"/>
      <c r="AL6" s="84" t="s">
        <v>47</v>
      </c>
      <c r="AM6" s="84"/>
      <c r="AN6" s="84"/>
      <c r="AO6" s="84" t="s">
        <v>48</v>
      </c>
      <c r="AP6" s="84"/>
      <c r="AQ6" s="84"/>
      <c r="AR6" s="96"/>
      <c r="AS6" s="96"/>
      <c r="AT6" s="96"/>
      <c r="AU6" s="96"/>
      <c r="AV6" s="96"/>
      <c r="AW6" s="96"/>
      <c r="AX6" s="96"/>
      <c r="AY6" s="96"/>
      <c r="AZ6" s="84" t="s">
        <v>157</v>
      </c>
      <c r="BA6" s="96"/>
      <c r="BB6" s="104" t="s">
        <v>49</v>
      </c>
      <c r="BC6" s="104" t="s">
        <v>50</v>
      </c>
      <c r="BD6" s="97" t="s">
        <v>51</v>
      </c>
      <c r="BE6" s="96"/>
      <c r="BF6" s="96"/>
      <c r="BG6" s="96"/>
      <c r="BH6" s="96"/>
      <c r="BI6" s="96"/>
      <c r="BJ6" s="96"/>
      <c r="BK6" s="96"/>
      <c r="BL6" s="84" t="s">
        <v>160</v>
      </c>
      <c r="BM6" s="84" t="s">
        <v>41</v>
      </c>
      <c r="BN6" s="102" t="s">
        <v>154</v>
      </c>
      <c r="BO6" s="84" t="s">
        <v>155</v>
      </c>
      <c r="BP6" s="108" t="s">
        <v>153</v>
      </c>
      <c r="BQ6" s="109"/>
      <c r="BR6" s="105"/>
      <c r="BS6" s="52"/>
      <c r="BT6" s="52"/>
      <c r="BU6" s="106" t="s">
        <v>159</v>
      </c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</row>
    <row r="7" spans="1:119" s="2" customFormat="1" ht="45" customHeight="1" x14ac:dyDescent="0.25">
      <c r="A7" s="90"/>
      <c r="B7" s="90"/>
      <c r="C7" s="91"/>
      <c r="D7" s="93"/>
      <c r="E7" s="84"/>
      <c r="F7" s="84"/>
      <c r="G7" s="84"/>
      <c r="H7" s="84"/>
      <c r="I7" s="84"/>
      <c r="J7" s="84"/>
      <c r="K7" s="84"/>
      <c r="L7" s="84"/>
      <c r="M7" s="86"/>
      <c r="N7" s="86"/>
      <c r="O7" s="84"/>
      <c r="P7" s="84"/>
      <c r="Q7" s="65" t="s">
        <v>52</v>
      </c>
      <c r="R7" s="65" t="s">
        <v>53</v>
      </c>
      <c r="S7" s="65" t="s">
        <v>55</v>
      </c>
      <c r="T7" s="65" t="s">
        <v>54</v>
      </c>
      <c r="U7" s="65" t="s">
        <v>56</v>
      </c>
      <c r="V7" s="65" t="s">
        <v>57</v>
      </c>
      <c r="W7" s="65" t="s">
        <v>58</v>
      </c>
      <c r="X7" s="84"/>
      <c r="Y7" s="84"/>
      <c r="Z7" s="84"/>
      <c r="AA7" s="102"/>
      <c r="AB7" s="84"/>
      <c r="AC7" s="84"/>
      <c r="AD7" s="84"/>
      <c r="AE7" s="84"/>
      <c r="AF7" s="84"/>
      <c r="AG7" s="84"/>
      <c r="AH7" s="84"/>
      <c r="AI7" s="65" t="s">
        <v>59</v>
      </c>
      <c r="AJ7" s="65" t="s">
        <v>60</v>
      </c>
      <c r="AK7" s="65" t="s">
        <v>61</v>
      </c>
      <c r="AL7" s="65" t="s">
        <v>59</v>
      </c>
      <c r="AM7" s="65" t="s">
        <v>60</v>
      </c>
      <c r="AN7" s="65" t="s">
        <v>61</v>
      </c>
      <c r="AO7" s="65" t="s">
        <v>59</v>
      </c>
      <c r="AP7" s="65" t="s">
        <v>60</v>
      </c>
      <c r="AQ7" s="65" t="s">
        <v>61</v>
      </c>
      <c r="AR7" s="96"/>
      <c r="AS7" s="96"/>
      <c r="AT7" s="96"/>
      <c r="AU7" s="96"/>
      <c r="AV7" s="96"/>
      <c r="AW7" s="96"/>
      <c r="AX7" s="96"/>
      <c r="AY7" s="96"/>
      <c r="AZ7" s="84"/>
      <c r="BA7" s="96"/>
      <c r="BB7" s="104"/>
      <c r="BC7" s="104"/>
      <c r="BD7" s="97"/>
      <c r="BE7" s="96"/>
      <c r="BF7" s="96"/>
      <c r="BG7" s="96"/>
      <c r="BH7" s="96"/>
      <c r="BI7" s="96"/>
      <c r="BJ7" s="96"/>
      <c r="BK7" s="96"/>
      <c r="BL7" s="84"/>
      <c r="BM7" s="84"/>
      <c r="BN7" s="102"/>
      <c r="BO7" s="84"/>
      <c r="BP7" s="108"/>
      <c r="BQ7" s="109"/>
      <c r="BR7" s="105"/>
      <c r="BS7" s="52"/>
      <c r="BT7" s="52"/>
      <c r="BU7" s="107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</row>
    <row r="8" spans="1:119" s="3" customFormat="1" ht="19.899999999999999" hidden="1" customHeight="1" x14ac:dyDescent="0.25">
      <c r="A8" s="23" t="s">
        <v>62</v>
      </c>
      <c r="B8" s="23" t="s">
        <v>63</v>
      </c>
      <c r="C8" s="43" t="s">
        <v>64</v>
      </c>
      <c r="D8" s="45" t="s">
        <v>65</v>
      </c>
      <c r="E8" s="23" t="s">
        <v>66</v>
      </c>
      <c r="F8" s="23" t="s">
        <v>67</v>
      </c>
      <c r="G8" s="23" t="s">
        <v>68</v>
      </c>
      <c r="H8" s="23" t="s">
        <v>69</v>
      </c>
      <c r="I8" s="23" t="s">
        <v>70</v>
      </c>
      <c r="J8" s="23" t="s">
        <v>71</v>
      </c>
      <c r="K8" s="23" t="s">
        <v>72</v>
      </c>
      <c r="L8" s="23" t="s">
        <v>73</v>
      </c>
      <c r="M8" s="8" t="s">
        <v>74</v>
      </c>
      <c r="N8" s="8" t="s">
        <v>75</v>
      </c>
      <c r="O8" s="8" t="s">
        <v>76</v>
      </c>
      <c r="P8" s="8" t="s">
        <v>77</v>
      </c>
      <c r="Q8" s="8" t="s">
        <v>78</v>
      </c>
      <c r="R8" s="8" t="s">
        <v>79</v>
      </c>
      <c r="S8" s="8" t="s">
        <v>80</v>
      </c>
      <c r="T8" s="8" t="s">
        <v>81</v>
      </c>
      <c r="U8" s="8" t="s">
        <v>82</v>
      </c>
      <c r="V8" s="8" t="s">
        <v>83</v>
      </c>
      <c r="W8" s="8" t="s">
        <v>84</v>
      </c>
      <c r="X8" s="8" t="s">
        <v>85</v>
      </c>
      <c r="Y8" s="8" t="s">
        <v>86</v>
      </c>
      <c r="Z8" s="8" t="s">
        <v>87</v>
      </c>
      <c r="AA8" s="20" t="s">
        <v>88</v>
      </c>
      <c r="AB8" s="8" t="s">
        <v>89</v>
      </c>
      <c r="AC8" s="8" t="s">
        <v>90</v>
      </c>
      <c r="AD8" s="8" t="s">
        <v>91</v>
      </c>
      <c r="AE8" s="8" t="s">
        <v>92</v>
      </c>
      <c r="AF8" s="8" t="s">
        <v>93</v>
      </c>
      <c r="AG8" s="8" t="s">
        <v>94</v>
      </c>
      <c r="AH8" s="8" t="s">
        <v>95</v>
      </c>
      <c r="AI8" s="8" t="s">
        <v>96</v>
      </c>
      <c r="AJ8" s="8" t="s">
        <v>97</v>
      </c>
      <c r="AK8" s="8" t="s">
        <v>98</v>
      </c>
      <c r="AL8" s="8" t="s">
        <v>99</v>
      </c>
      <c r="AM8" s="8" t="s">
        <v>100</v>
      </c>
      <c r="AN8" s="8" t="s">
        <v>101</v>
      </c>
      <c r="AO8" s="8" t="s">
        <v>102</v>
      </c>
      <c r="AP8" s="8" t="s">
        <v>103</v>
      </c>
      <c r="AQ8" s="8" t="s">
        <v>104</v>
      </c>
      <c r="AR8" s="9">
        <v>48</v>
      </c>
      <c r="AS8" s="10" t="s">
        <v>105</v>
      </c>
      <c r="AT8" s="10" t="s">
        <v>106</v>
      </c>
      <c r="AU8" s="10" t="s">
        <v>107</v>
      </c>
      <c r="AV8" s="10" t="s">
        <v>108</v>
      </c>
      <c r="AW8" s="10" t="s">
        <v>109</v>
      </c>
      <c r="AX8" s="10" t="s">
        <v>110</v>
      </c>
      <c r="AY8" s="10" t="s">
        <v>111</v>
      </c>
      <c r="AZ8" s="10" t="s">
        <v>112</v>
      </c>
      <c r="BA8" s="10" t="s">
        <v>113</v>
      </c>
      <c r="BB8" s="11" t="s">
        <v>114</v>
      </c>
      <c r="BC8" s="11" t="s">
        <v>115</v>
      </c>
      <c r="BD8" s="12" t="s">
        <v>116</v>
      </c>
      <c r="BE8" s="10" t="s">
        <v>117</v>
      </c>
      <c r="BF8" s="10" t="s">
        <v>118</v>
      </c>
      <c r="BG8" s="10" t="s">
        <v>119</v>
      </c>
      <c r="BH8" s="13" t="s">
        <v>120</v>
      </c>
      <c r="BI8" s="14" t="s">
        <v>121</v>
      </c>
      <c r="BJ8" s="14" t="s">
        <v>122</v>
      </c>
      <c r="BK8" s="14" t="s">
        <v>123</v>
      </c>
      <c r="BL8" s="10" t="s">
        <v>112</v>
      </c>
      <c r="BM8" s="51"/>
      <c r="BN8" s="51"/>
      <c r="BO8" s="51"/>
      <c r="BP8" s="51"/>
      <c r="BQ8" s="51"/>
      <c r="BR8" s="51"/>
      <c r="BS8" s="51"/>
      <c r="BT8" s="51"/>
      <c r="BU8" s="57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</row>
    <row r="9" spans="1:119" s="18" customFormat="1" ht="48" customHeight="1" x14ac:dyDescent="0.25">
      <c r="A9" s="24"/>
      <c r="B9" s="22" t="s">
        <v>126</v>
      </c>
      <c r="C9" s="44"/>
      <c r="D9" s="46">
        <v>1</v>
      </c>
      <c r="E9" s="32" t="s">
        <v>133</v>
      </c>
      <c r="F9" s="32" t="s">
        <v>133</v>
      </c>
      <c r="G9" s="33" t="s">
        <v>139</v>
      </c>
      <c r="H9" s="34"/>
      <c r="I9" s="35"/>
      <c r="J9" s="36">
        <v>100</v>
      </c>
      <c r="K9" s="36">
        <v>710000000</v>
      </c>
      <c r="L9" s="33" t="s">
        <v>127</v>
      </c>
      <c r="M9" s="35" t="s">
        <v>124</v>
      </c>
      <c r="N9" s="36">
        <v>710000000</v>
      </c>
      <c r="O9" s="35" t="s">
        <v>163</v>
      </c>
      <c r="P9" s="35"/>
      <c r="Q9" s="35"/>
      <c r="R9" s="35"/>
      <c r="S9" s="37"/>
      <c r="T9" s="37"/>
      <c r="U9" s="36"/>
      <c r="V9" s="36"/>
      <c r="W9" s="36">
        <v>100</v>
      </c>
      <c r="X9" s="35" t="s">
        <v>125</v>
      </c>
      <c r="Y9" s="38">
        <v>861</v>
      </c>
      <c r="Z9" s="38">
        <v>19143.138000000003</v>
      </c>
      <c r="AA9" s="39">
        <f>Y9*Z9</f>
        <v>16482241.818000002</v>
      </c>
      <c r="AB9" s="39">
        <f>AA9*1.12</f>
        <v>18460110.836160004</v>
      </c>
      <c r="AC9" s="39"/>
      <c r="AD9" s="39"/>
      <c r="AE9" s="39"/>
      <c r="AF9" s="40" t="s">
        <v>129</v>
      </c>
      <c r="AG9" s="32" t="s">
        <v>134</v>
      </c>
      <c r="AH9" s="32" t="s">
        <v>135</v>
      </c>
      <c r="AI9" s="41"/>
      <c r="AJ9" s="35"/>
      <c r="AK9" s="35"/>
      <c r="AL9" s="41"/>
      <c r="AM9" s="35"/>
      <c r="AN9" s="35"/>
      <c r="AO9" s="41"/>
      <c r="AP9" s="35"/>
      <c r="AQ9" s="35"/>
      <c r="AR9" s="35"/>
      <c r="AS9" s="34" t="s">
        <v>128</v>
      </c>
      <c r="AT9" s="34" t="s">
        <v>128</v>
      </c>
      <c r="AU9" s="36"/>
      <c r="AV9" s="35"/>
      <c r="AW9" s="34" t="s">
        <v>132</v>
      </c>
      <c r="AX9" s="32" t="s">
        <v>136</v>
      </c>
      <c r="AY9" s="35" t="s">
        <v>131</v>
      </c>
      <c r="AZ9" s="35"/>
      <c r="BA9" s="25"/>
      <c r="BB9" s="25"/>
      <c r="BC9" s="22"/>
      <c r="BD9" s="24"/>
      <c r="BE9" s="26"/>
      <c r="BF9" s="27"/>
      <c r="BG9" s="24"/>
      <c r="BH9" s="31" t="s">
        <v>137</v>
      </c>
      <c r="BI9" s="31" t="s">
        <v>138</v>
      </c>
      <c r="BJ9" s="28"/>
      <c r="BK9" s="28"/>
      <c r="BL9" s="66">
        <v>184.68</v>
      </c>
      <c r="BM9" s="38">
        <v>19143.138000000003</v>
      </c>
      <c r="BN9" s="39">
        <f>BL9*BM9</f>
        <v>3535354.7258400004</v>
      </c>
      <c r="BO9" s="39">
        <f>BN9*1.12</f>
        <v>3959597.292940801</v>
      </c>
      <c r="BP9" s="53">
        <f>Y9-BL9</f>
        <v>676.31999999999994</v>
      </c>
      <c r="BQ9" s="28"/>
      <c r="BR9" s="28"/>
      <c r="BS9" s="28"/>
      <c r="BT9" s="28"/>
      <c r="BU9" s="68">
        <f>BL9/Y9*100</f>
        <v>21.449477351916375</v>
      </c>
    </row>
    <row r="10" spans="1:119" s="18" customFormat="1" ht="48.75" customHeight="1" x14ac:dyDescent="0.25">
      <c r="A10" s="24"/>
      <c r="B10" s="22" t="s">
        <v>126</v>
      </c>
      <c r="C10" s="44"/>
      <c r="D10" s="46">
        <v>2</v>
      </c>
      <c r="E10" s="32" t="s">
        <v>133</v>
      </c>
      <c r="F10" s="32" t="s">
        <v>133</v>
      </c>
      <c r="G10" s="33" t="s">
        <v>139</v>
      </c>
      <c r="H10" s="34"/>
      <c r="I10" s="35"/>
      <c r="J10" s="36">
        <v>100</v>
      </c>
      <c r="K10" s="36">
        <v>710000000</v>
      </c>
      <c r="L10" s="33" t="s">
        <v>127</v>
      </c>
      <c r="M10" s="35" t="s">
        <v>124</v>
      </c>
      <c r="N10" s="36">
        <v>116659100</v>
      </c>
      <c r="O10" s="35" t="s">
        <v>161</v>
      </c>
      <c r="P10" s="35"/>
      <c r="Q10" s="35"/>
      <c r="R10" s="35"/>
      <c r="S10" s="37"/>
      <c r="T10" s="37"/>
      <c r="U10" s="36"/>
      <c r="V10" s="36"/>
      <c r="W10" s="36">
        <v>100</v>
      </c>
      <c r="X10" s="35" t="s">
        <v>125</v>
      </c>
      <c r="Y10" s="38">
        <v>22</v>
      </c>
      <c r="Z10" s="38">
        <v>19143.138000000003</v>
      </c>
      <c r="AA10" s="39">
        <f t="shared" ref="AA10:AA22" si="0">Y10*Z10</f>
        <v>421149.03600000008</v>
      </c>
      <c r="AB10" s="39">
        <f t="shared" ref="AB10:AB22" si="1">AA10*1.12</f>
        <v>471686.92032000015</v>
      </c>
      <c r="AC10" s="39"/>
      <c r="AD10" s="39"/>
      <c r="AE10" s="39"/>
      <c r="AF10" s="40" t="s">
        <v>129</v>
      </c>
      <c r="AG10" s="32" t="s">
        <v>134</v>
      </c>
      <c r="AH10" s="32" t="s">
        <v>135</v>
      </c>
      <c r="AI10" s="41"/>
      <c r="AJ10" s="35"/>
      <c r="AK10" s="35"/>
      <c r="AL10" s="41"/>
      <c r="AM10" s="35"/>
      <c r="AN10" s="35"/>
      <c r="AO10" s="41"/>
      <c r="AP10" s="35"/>
      <c r="AQ10" s="35"/>
      <c r="AR10" s="35"/>
      <c r="AS10" s="34" t="s">
        <v>128</v>
      </c>
      <c r="AT10" s="34" t="s">
        <v>128</v>
      </c>
      <c r="AU10" s="36"/>
      <c r="AV10" s="35"/>
      <c r="AW10" s="34" t="s">
        <v>132</v>
      </c>
      <c r="AX10" s="32" t="s">
        <v>136</v>
      </c>
      <c r="AY10" s="35" t="s">
        <v>131</v>
      </c>
      <c r="AZ10" s="35"/>
      <c r="BA10" s="25"/>
      <c r="BB10" s="25"/>
      <c r="BC10" s="22"/>
      <c r="BD10" s="24"/>
      <c r="BE10" s="26"/>
      <c r="BF10" s="27"/>
      <c r="BG10" s="24"/>
      <c r="BH10" s="31" t="s">
        <v>137</v>
      </c>
      <c r="BI10" s="31" t="s">
        <v>138</v>
      </c>
      <c r="BJ10" s="28"/>
      <c r="BK10" s="28"/>
      <c r="BL10" s="66">
        <v>6</v>
      </c>
      <c r="BM10" s="38">
        <v>19143.138000000003</v>
      </c>
      <c r="BN10" s="39">
        <f t="shared" ref="BN10:BN22" si="2">BL10*BM10</f>
        <v>114858.82800000001</v>
      </c>
      <c r="BO10" s="39">
        <f t="shared" ref="BO10:BO22" si="3">BN10*1.12</f>
        <v>128641.88736000002</v>
      </c>
      <c r="BP10" s="53">
        <f t="shared" ref="BP10:BP22" si="4">Y10-BL10</f>
        <v>16</v>
      </c>
      <c r="BQ10" s="28"/>
      <c r="BR10" s="28"/>
      <c r="BS10" s="28"/>
      <c r="BT10" s="28"/>
      <c r="BU10" s="68">
        <f t="shared" ref="BU10:BU20" si="5">BL10/Y10*100</f>
        <v>27.27272727272727</v>
      </c>
    </row>
    <row r="11" spans="1:119" s="18" customFormat="1" ht="48" customHeight="1" x14ac:dyDescent="0.25">
      <c r="A11" s="24"/>
      <c r="B11" s="22" t="s">
        <v>126</v>
      </c>
      <c r="C11" s="44"/>
      <c r="D11" s="46">
        <v>3</v>
      </c>
      <c r="E11" s="32" t="s">
        <v>133</v>
      </c>
      <c r="F11" s="32" t="s">
        <v>133</v>
      </c>
      <c r="G11" s="33" t="s">
        <v>139</v>
      </c>
      <c r="H11" s="34"/>
      <c r="I11" s="35"/>
      <c r="J11" s="36">
        <v>100</v>
      </c>
      <c r="K11" s="42">
        <v>710000000</v>
      </c>
      <c r="L11" s="33" t="s">
        <v>127</v>
      </c>
      <c r="M11" s="35" t="s">
        <v>124</v>
      </c>
      <c r="N11" s="36">
        <v>396473100</v>
      </c>
      <c r="O11" s="35" t="s">
        <v>151</v>
      </c>
      <c r="P11" s="35"/>
      <c r="Q11" s="35"/>
      <c r="R11" s="35"/>
      <c r="S11" s="37"/>
      <c r="T11" s="37"/>
      <c r="U11" s="36"/>
      <c r="V11" s="36"/>
      <c r="W11" s="36">
        <v>100</v>
      </c>
      <c r="X11" s="35" t="s">
        <v>125</v>
      </c>
      <c r="Y11" s="38">
        <v>80</v>
      </c>
      <c r="Z11" s="38">
        <v>19143.138000000003</v>
      </c>
      <c r="AA11" s="39">
        <f t="shared" si="0"/>
        <v>1531451.0400000003</v>
      </c>
      <c r="AB11" s="39">
        <f t="shared" si="1"/>
        <v>1715225.1648000004</v>
      </c>
      <c r="AC11" s="39"/>
      <c r="AD11" s="39"/>
      <c r="AE11" s="39"/>
      <c r="AF11" s="40" t="s">
        <v>129</v>
      </c>
      <c r="AG11" s="32" t="s">
        <v>134</v>
      </c>
      <c r="AH11" s="32" t="s">
        <v>135</v>
      </c>
      <c r="AI11" s="41"/>
      <c r="AJ11" s="35"/>
      <c r="AK11" s="35"/>
      <c r="AL11" s="41"/>
      <c r="AM11" s="35"/>
      <c r="AN11" s="35"/>
      <c r="AO11" s="41"/>
      <c r="AP11" s="35"/>
      <c r="AQ11" s="35"/>
      <c r="AR11" s="35"/>
      <c r="AS11" s="34" t="s">
        <v>128</v>
      </c>
      <c r="AT11" s="34" t="s">
        <v>128</v>
      </c>
      <c r="AU11" s="36"/>
      <c r="AV11" s="35"/>
      <c r="AW11" s="34" t="s">
        <v>132</v>
      </c>
      <c r="AX11" s="32" t="s">
        <v>136</v>
      </c>
      <c r="AY11" s="35" t="s">
        <v>131</v>
      </c>
      <c r="AZ11" s="35"/>
      <c r="BA11" s="25"/>
      <c r="BB11" s="25"/>
      <c r="BC11" s="25"/>
      <c r="BD11" s="24"/>
      <c r="BE11" s="26"/>
      <c r="BF11" s="27"/>
      <c r="BG11" s="24"/>
      <c r="BH11" s="31" t="s">
        <v>137</v>
      </c>
      <c r="BI11" s="31" t="s">
        <v>138</v>
      </c>
      <c r="BJ11" s="28"/>
      <c r="BK11" s="28"/>
      <c r="BL11" s="35">
        <v>0</v>
      </c>
      <c r="BM11" s="38">
        <v>19143.138000000003</v>
      </c>
      <c r="BN11" s="39">
        <f t="shared" si="2"/>
        <v>0</v>
      </c>
      <c r="BO11" s="39">
        <f t="shared" si="3"/>
        <v>0</v>
      </c>
      <c r="BP11" s="53">
        <f t="shared" si="4"/>
        <v>80</v>
      </c>
      <c r="BQ11" s="28"/>
      <c r="BR11" s="28"/>
      <c r="BS11" s="28"/>
      <c r="BT11" s="28"/>
      <c r="BU11" s="68">
        <f t="shared" si="5"/>
        <v>0</v>
      </c>
    </row>
    <row r="12" spans="1:119" s="18" customFormat="1" ht="48" customHeight="1" x14ac:dyDescent="0.25">
      <c r="A12" s="24"/>
      <c r="B12" s="22"/>
      <c r="C12" s="44"/>
      <c r="D12" s="46"/>
      <c r="E12" s="32" t="s">
        <v>133</v>
      </c>
      <c r="F12" s="32"/>
      <c r="G12" s="33"/>
      <c r="H12" s="34"/>
      <c r="I12" s="35"/>
      <c r="J12" s="36"/>
      <c r="K12" s="42"/>
      <c r="L12" s="33"/>
      <c r="M12" s="35"/>
      <c r="N12" s="36"/>
      <c r="O12" s="35" t="s">
        <v>162</v>
      </c>
      <c r="P12" s="35"/>
      <c r="Q12" s="35"/>
      <c r="R12" s="35"/>
      <c r="S12" s="37"/>
      <c r="T12" s="37"/>
      <c r="U12" s="36"/>
      <c r="V12" s="36"/>
      <c r="W12" s="36"/>
      <c r="X12" s="35"/>
      <c r="Y12" s="38">
        <v>80</v>
      </c>
      <c r="Z12" s="38">
        <v>19143.138000000003</v>
      </c>
      <c r="AA12" s="39">
        <f t="shared" si="0"/>
        <v>1531451.0400000003</v>
      </c>
      <c r="AB12" s="39">
        <f t="shared" si="1"/>
        <v>1715225.1648000004</v>
      </c>
      <c r="AC12" s="39"/>
      <c r="AD12" s="39"/>
      <c r="AE12" s="39"/>
      <c r="AF12" s="40"/>
      <c r="AG12" s="32"/>
      <c r="AH12" s="32"/>
      <c r="AI12" s="41"/>
      <c r="AJ12" s="35"/>
      <c r="AK12" s="35"/>
      <c r="AL12" s="41"/>
      <c r="AM12" s="35"/>
      <c r="AN12" s="35"/>
      <c r="AO12" s="41"/>
      <c r="AP12" s="35"/>
      <c r="AQ12" s="35"/>
      <c r="AR12" s="35"/>
      <c r="AS12" s="34"/>
      <c r="AT12" s="34"/>
      <c r="AU12" s="36"/>
      <c r="AV12" s="35"/>
      <c r="AW12" s="34"/>
      <c r="AX12" s="32"/>
      <c r="AY12" s="35"/>
      <c r="AZ12" s="35"/>
      <c r="BA12" s="25"/>
      <c r="BB12" s="25"/>
      <c r="BC12" s="25"/>
      <c r="BD12" s="24"/>
      <c r="BE12" s="26"/>
      <c r="BF12" s="27"/>
      <c r="BG12" s="24"/>
      <c r="BH12" s="31"/>
      <c r="BI12" s="31"/>
      <c r="BJ12" s="28"/>
      <c r="BK12" s="28"/>
      <c r="BL12" s="35">
        <v>0</v>
      </c>
      <c r="BM12" s="38">
        <v>19143.138000000003</v>
      </c>
      <c r="BN12" s="39">
        <f t="shared" si="2"/>
        <v>0</v>
      </c>
      <c r="BO12" s="39">
        <f t="shared" si="3"/>
        <v>0</v>
      </c>
      <c r="BP12" s="53">
        <f t="shared" si="4"/>
        <v>80</v>
      </c>
      <c r="BQ12" s="28"/>
      <c r="BR12" s="28"/>
      <c r="BS12" s="28"/>
      <c r="BT12" s="28"/>
      <c r="BU12" s="68"/>
    </row>
    <row r="13" spans="1:119" s="18" customFormat="1" ht="48.75" customHeight="1" x14ac:dyDescent="0.25">
      <c r="A13" s="24"/>
      <c r="B13" s="22" t="s">
        <v>126</v>
      </c>
      <c r="C13" s="44"/>
      <c r="D13" s="58">
        <v>4</v>
      </c>
      <c r="E13" s="41" t="s">
        <v>133</v>
      </c>
      <c r="F13" s="41" t="s">
        <v>133</v>
      </c>
      <c r="G13" s="59" t="s">
        <v>139</v>
      </c>
      <c r="H13" s="35"/>
      <c r="I13" s="35"/>
      <c r="J13" s="36">
        <v>100</v>
      </c>
      <c r="K13" s="36">
        <v>710000000</v>
      </c>
      <c r="L13" s="59" t="s">
        <v>127</v>
      </c>
      <c r="M13" s="35" t="s">
        <v>124</v>
      </c>
      <c r="N13" s="36">
        <v>750000000</v>
      </c>
      <c r="O13" s="35" t="s">
        <v>130</v>
      </c>
      <c r="P13" s="35"/>
      <c r="Q13" s="35"/>
      <c r="R13" s="35"/>
      <c r="S13" s="37"/>
      <c r="T13" s="37"/>
      <c r="U13" s="36"/>
      <c r="V13" s="36"/>
      <c r="W13" s="36">
        <v>100</v>
      </c>
      <c r="X13" s="35" t="s">
        <v>125</v>
      </c>
      <c r="Y13" s="39">
        <v>800</v>
      </c>
      <c r="Z13" s="38">
        <v>19143.138000000003</v>
      </c>
      <c r="AA13" s="39">
        <f t="shared" si="0"/>
        <v>15314510.400000002</v>
      </c>
      <c r="AB13" s="39">
        <f t="shared" si="1"/>
        <v>17152251.648000006</v>
      </c>
      <c r="AC13" s="39"/>
      <c r="AD13" s="39"/>
      <c r="AE13" s="39"/>
      <c r="AF13" s="37" t="s">
        <v>129</v>
      </c>
      <c r="AG13" s="41" t="s">
        <v>134</v>
      </c>
      <c r="AH13" s="41" t="s">
        <v>135</v>
      </c>
      <c r="AI13" s="41"/>
      <c r="AJ13" s="35"/>
      <c r="AK13" s="35"/>
      <c r="AL13" s="41"/>
      <c r="AM13" s="35"/>
      <c r="AN13" s="35"/>
      <c r="AO13" s="41"/>
      <c r="AP13" s="35"/>
      <c r="AQ13" s="35"/>
      <c r="AR13" s="35"/>
      <c r="AS13" s="35" t="s">
        <v>128</v>
      </c>
      <c r="AT13" s="35" t="s">
        <v>128</v>
      </c>
      <c r="AU13" s="36"/>
      <c r="AV13" s="35"/>
      <c r="AW13" s="35" t="s">
        <v>132</v>
      </c>
      <c r="AX13" s="41" t="s">
        <v>136</v>
      </c>
      <c r="AY13" s="35" t="s">
        <v>131</v>
      </c>
      <c r="AZ13" s="35"/>
      <c r="BA13" s="25"/>
      <c r="BB13" s="25"/>
      <c r="BC13" s="25"/>
      <c r="BD13" s="24"/>
      <c r="BE13" s="26"/>
      <c r="BF13" s="27"/>
      <c r="BG13" s="24"/>
      <c r="BH13" s="60" t="s">
        <v>137</v>
      </c>
      <c r="BI13" s="60" t="s">
        <v>138</v>
      </c>
      <c r="BJ13" s="29"/>
      <c r="BK13" s="29"/>
      <c r="BL13" s="67">
        <v>56.33</v>
      </c>
      <c r="BM13" s="38">
        <v>19143.138000000003</v>
      </c>
      <c r="BN13" s="39">
        <f t="shared" si="2"/>
        <v>1078332.9635400001</v>
      </c>
      <c r="BO13" s="39">
        <f t="shared" si="3"/>
        <v>1207732.9191648003</v>
      </c>
      <c r="BP13" s="53">
        <f>Y13-BL13</f>
        <v>743.67</v>
      </c>
      <c r="BQ13" s="29"/>
      <c r="BR13" s="29"/>
      <c r="BS13" s="29"/>
      <c r="BT13" s="29"/>
      <c r="BU13" s="68">
        <f t="shared" si="5"/>
        <v>7.0412500000000007</v>
      </c>
    </row>
    <row r="14" spans="1:119" s="18" customFormat="1" ht="48" customHeight="1" x14ac:dyDescent="0.25">
      <c r="A14" s="24"/>
      <c r="B14" s="22" t="s">
        <v>126</v>
      </c>
      <c r="C14" s="44"/>
      <c r="D14" s="58">
        <v>5</v>
      </c>
      <c r="E14" s="41" t="s">
        <v>133</v>
      </c>
      <c r="F14" s="41" t="s">
        <v>133</v>
      </c>
      <c r="G14" s="59" t="s">
        <v>139</v>
      </c>
      <c r="H14" s="35"/>
      <c r="I14" s="35"/>
      <c r="J14" s="36">
        <v>100</v>
      </c>
      <c r="K14" s="42">
        <v>710000000</v>
      </c>
      <c r="L14" s="59" t="s">
        <v>127</v>
      </c>
      <c r="M14" s="35" t="s">
        <v>124</v>
      </c>
      <c r="N14" s="36">
        <v>511610000</v>
      </c>
      <c r="O14" s="35" t="s">
        <v>141</v>
      </c>
      <c r="P14" s="35"/>
      <c r="Q14" s="35"/>
      <c r="R14" s="35"/>
      <c r="S14" s="37"/>
      <c r="T14" s="37"/>
      <c r="U14" s="36"/>
      <c r="V14" s="36"/>
      <c r="W14" s="36">
        <v>100</v>
      </c>
      <c r="X14" s="35" t="s">
        <v>125</v>
      </c>
      <c r="Y14" s="39">
        <v>80</v>
      </c>
      <c r="Z14" s="38">
        <v>19143.138000000003</v>
      </c>
      <c r="AA14" s="39">
        <f t="shared" si="0"/>
        <v>1531451.0400000003</v>
      </c>
      <c r="AB14" s="39">
        <f t="shared" si="1"/>
        <v>1715225.1648000004</v>
      </c>
      <c r="AC14" s="39"/>
      <c r="AD14" s="39"/>
      <c r="AE14" s="39"/>
      <c r="AF14" s="37" t="s">
        <v>129</v>
      </c>
      <c r="AG14" s="41" t="s">
        <v>134</v>
      </c>
      <c r="AH14" s="41" t="s">
        <v>135</v>
      </c>
      <c r="AI14" s="41"/>
      <c r="AJ14" s="35"/>
      <c r="AK14" s="35"/>
      <c r="AL14" s="41"/>
      <c r="AM14" s="35"/>
      <c r="AN14" s="35"/>
      <c r="AO14" s="41"/>
      <c r="AP14" s="35"/>
      <c r="AQ14" s="35"/>
      <c r="AR14" s="35"/>
      <c r="AS14" s="35" t="s">
        <v>128</v>
      </c>
      <c r="AT14" s="35" t="s">
        <v>128</v>
      </c>
      <c r="AU14" s="36"/>
      <c r="AV14" s="35"/>
      <c r="AW14" s="35" t="s">
        <v>132</v>
      </c>
      <c r="AX14" s="41" t="s">
        <v>136</v>
      </c>
      <c r="AY14" s="35" t="s">
        <v>131</v>
      </c>
      <c r="AZ14" s="35"/>
      <c r="BA14" s="25"/>
      <c r="BB14" s="25"/>
      <c r="BC14" s="25"/>
      <c r="BD14" s="24"/>
      <c r="BE14" s="26"/>
      <c r="BF14" s="27"/>
      <c r="BG14" s="24"/>
      <c r="BH14" s="60" t="s">
        <v>137</v>
      </c>
      <c r="BI14" s="60" t="s">
        <v>138</v>
      </c>
      <c r="BJ14" s="29"/>
      <c r="BK14" s="29"/>
      <c r="BL14" s="66">
        <v>6.77</v>
      </c>
      <c r="BM14" s="38">
        <v>19143.138000000003</v>
      </c>
      <c r="BN14" s="39">
        <f t="shared" si="2"/>
        <v>129599.04426000001</v>
      </c>
      <c r="BO14" s="39">
        <f t="shared" si="3"/>
        <v>145150.92957120002</v>
      </c>
      <c r="BP14" s="53">
        <f>Y14-BL14</f>
        <v>73.23</v>
      </c>
      <c r="BQ14" s="29"/>
      <c r="BR14" s="29"/>
      <c r="BS14" s="29"/>
      <c r="BT14" s="29"/>
      <c r="BU14" s="68">
        <f t="shared" si="5"/>
        <v>8.4624999999999986</v>
      </c>
    </row>
    <row r="15" spans="1:119" s="18" customFormat="1" ht="48.75" customHeight="1" x14ac:dyDescent="0.25">
      <c r="A15" s="24"/>
      <c r="B15" s="22" t="s">
        <v>126</v>
      </c>
      <c r="C15" s="44"/>
      <c r="D15" s="58">
        <v>6</v>
      </c>
      <c r="E15" s="41" t="s">
        <v>133</v>
      </c>
      <c r="F15" s="41" t="s">
        <v>133</v>
      </c>
      <c r="G15" s="59" t="s">
        <v>139</v>
      </c>
      <c r="H15" s="35"/>
      <c r="I15" s="35"/>
      <c r="J15" s="36">
        <v>100</v>
      </c>
      <c r="K15" s="42">
        <v>710000000</v>
      </c>
      <c r="L15" s="59" t="s">
        <v>127</v>
      </c>
      <c r="M15" s="35" t="s">
        <v>124</v>
      </c>
      <c r="N15" s="36">
        <v>316621100</v>
      </c>
      <c r="O15" s="35" t="s">
        <v>142</v>
      </c>
      <c r="P15" s="35"/>
      <c r="Q15" s="35"/>
      <c r="R15" s="35"/>
      <c r="S15" s="37"/>
      <c r="T15" s="37"/>
      <c r="U15" s="36"/>
      <c r="V15" s="36"/>
      <c r="W15" s="36">
        <v>100</v>
      </c>
      <c r="X15" s="35" t="s">
        <v>125</v>
      </c>
      <c r="Y15" s="39">
        <v>20</v>
      </c>
      <c r="Z15" s="38">
        <v>19143.138000000003</v>
      </c>
      <c r="AA15" s="39">
        <f t="shared" si="0"/>
        <v>382862.76000000007</v>
      </c>
      <c r="AB15" s="39">
        <f t="shared" si="1"/>
        <v>428806.29120000009</v>
      </c>
      <c r="AC15" s="39"/>
      <c r="AD15" s="39"/>
      <c r="AE15" s="39"/>
      <c r="AF15" s="37" t="s">
        <v>129</v>
      </c>
      <c r="AG15" s="41" t="s">
        <v>134</v>
      </c>
      <c r="AH15" s="41" t="s">
        <v>135</v>
      </c>
      <c r="AI15" s="41"/>
      <c r="AJ15" s="35"/>
      <c r="AK15" s="35"/>
      <c r="AL15" s="41"/>
      <c r="AM15" s="35"/>
      <c r="AN15" s="35"/>
      <c r="AO15" s="41"/>
      <c r="AP15" s="35"/>
      <c r="AQ15" s="35"/>
      <c r="AR15" s="35"/>
      <c r="AS15" s="35" t="s">
        <v>128</v>
      </c>
      <c r="AT15" s="35" t="s">
        <v>128</v>
      </c>
      <c r="AU15" s="36"/>
      <c r="AV15" s="35"/>
      <c r="AW15" s="35" t="s">
        <v>132</v>
      </c>
      <c r="AX15" s="41" t="s">
        <v>136</v>
      </c>
      <c r="AY15" s="35" t="s">
        <v>131</v>
      </c>
      <c r="AZ15" s="35"/>
      <c r="BA15" s="25"/>
      <c r="BB15" s="25"/>
      <c r="BC15" s="25"/>
      <c r="BD15" s="24"/>
      <c r="BE15" s="26"/>
      <c r="BF15" s="27"/>
      <c r="BG15" s="24"/>
      <c r="BH15" s="60" t="s">
        <v>137</v>
      </c>
      <c r="BI15" s="60" t="s">
        <v>138</v>
      </c>
      <c r="BJ15" s="29"/>
      <c r="BK15" s="29"/>
      <c r="BL15" s="35">
        <v>0</v>
      </c>
      <c r="BM15" s="38">
        <v>19143.138000000003</v>
      </c>
      <c r="BN15" s="39">
        <f t="shared" si="2"/>
        <v>0</v>
      </c>
      <c r="BO15" s="39">
        <f t="shared" si="3"/>
        <v>0</v>
      </c>
      <c r="BP15" s="53">
        <v>0</v>
      </c>
      <c r="BQ15" s="29"/>
      <c r="BR15" s="29"/>
      <c r="BS15" s="29"/>
      <c r="BT15" s="29"/>
      <c r="BU15" s="68">
        <f t="shared" si="5"/>
        <v>0</v>
      </c>
    </row>
    <row r="16" spans="1:119" s="18" customFormat="1" ht="48" customHeight="1" x14ac:dyDescent="0.25">
      <c r="A16" s="24"/>
      <c r="B16" s="22" t="s">
        <v>126</v>
      </c>
      <c r="C16" s="44"/>
      <c r="D16" s="58">
        <v>7</v>
      </c>
      <c r="E16" s="41" t="s">
        <v>133</v>
      </c>
      <c r="F16" s="41" t="s">
        <v>133</v>
      </c>
      <c r="G16" s="59" t="s">
        <v>139</v>
      </c>
      <c r="H16" s="35"/>
      <c r="I16" s="35"/>
      <c r="J16" s="36">
        <v>100</v>
      </c>
      <c r="K16" s="42">
        <v>710000000</v>
      </c>
      <c r="L16" s="59" t="s">
        <v>127</v>
      </c>
      <c r="M16" s="35" t="s">
        <v>124</v>
      </c>
      <c r="N16" s="36">
        <v>633441000</v>
      </c>
      <c r="O16" s="35" t="s">
        <v>143</v>
      </c>
      <c r="P16" s="35"/>
      <c r="Q16" s="35"/>
      <c r="R16" s="35"/>
      <c r="S16" s="37"/>
      <c r="T16" s="37"/>
      <c r="U16" s="36"/>
      <c r="V16" s="36"/>
      <c r="W16" s="36">
        <v>100</v>
      </c>
      <c r="X16" s="35" t="s">
        <v>125</v>
      </c>
      <c r="Y16" s="39">
        <v>30</v>
      </c>
      <c r="Z16" s="38">
        <v>19143.138000000003</v>
      </c>
      <c r="AA16" s="39">
        <f t="shared" si="0"/>
        <v>574294.14000000013</v>
      </c>
      <c r="AB16" s="39">
        <f t="shared" si="1"/>
        <v>643209.43680000026</v>
      </c>
      <c r="AC16" s="39"/>
      <c r="AD16" s="39"/>
      <c r="AE16" s="39"/>
      <c r="AF16" s="37" t="s">
        <v>129</v>
      </c>
      <c r="AG16" s="41" t="s">
        <v>134</v>
      </c>
      <c r="AH16" s="41" t="s">
        <v>135</v>
      </c>
      <c r="AI16" s="41"/>
      <c r="AJ16" s="35"/>
      <c r="AK16" s="35"/>
      <c r="AL16" s="41"/>
      <c r="AM16" s="35"/>
      <c r="AN16" s="35"/>
      <c r="AO16" s="41"/>
      <c r="AP16" s="35"/>
      <c r="AQ16" s="35"/>
      <c r="AR16" s="35"/>
      <c r="AS16" s="35" t="s">
        <v>128</v>
      </c>
      <c r="AT16" s="35" t="s">
        <v>128</v>
      </c>
      <c r="AU16" s="36"/>
      <c r="AV16" s="35"/>
      <c r="AW16" s="35" t="s">
        <v>132</v>
      </c>
      <c r="AX16" s="41" t="s">
        <v>136</v>
      </c>
      <c r="AY16" s="35" t="s">
        <v>131</v>
      </c>
      <c r="AZ16" s="35"/>
      <c r="BA16" s="25"/>
      <c r="BB16" s="25"/>
      <c r="BC16" s="25"/>
      <c r="BD16" s="24"/>
      <c r="BE16" s="26"/>
      <c r="BF16" s="27"/>
      <c r="BG16" s="24"/>
      <c r="BH16" s="60" t="s">
        <v>137</v>
      </c>
      <c r="BI16" s="60" t="s">
        <v>138</v>
      </c>
      <c r="BJ16" s="29"/>
      <c r="BK16" s="29"/>
      <c r="BL16" s="67">
        <v>0.44</v>
      </c>
      <c r="BM16" s="38">
        <v>19143.138000000003</v>
      </c>
      <c r="BN16" s="39">
        <f t="shared" si="2"/>
        <v>8422.9807200000014</v>
      </c>
      <c r="BO16" s="39">
        <f t="shared" si="3"/>
        <v>9433.7384064000016</v>
      </c>
      <c r="BP16" s="53">
        <f>Y16-BL16</f>
        <v>29.56</v>
      </c>
      <c r="BQ16" s="29"/>
      <c r="BR16" s="29"/>
      <c r="BS16" s="29"/>
      <c r="BT16" s="29"/>
      <c r="BU16" s="68">
        <f t="shared" si="5"/>
        <v>1.4666666666666666</v>
      </c>
    </row>
    <row r="17" spans="1:73" s="18" customFormat="1" ht="48.75" customHeight="1" x14ac:dyDescent="0.25">
      <c r="A17" s="24"/>
      <c r="B17" s="22" t="s">
        <v>126</v>
      </c>
      <c r="C17" s="44"/>
      <c r="D17" s="58">
        <v>8</v>
      </c>
      <c r="E17" s="41" t="s">
        <v>133</v>
      </c>
      <c r="F17" s="41" t="s">
        <v>133</v>
      </c>
      <c r="G17" s="59" t="s">
        <v>139</v>
      </c>
      <c r="H17" s="35"/>
      <c r="I17" s="35"/>
      <c r="J17" s="36">
        <v>100</v>
      </c>
      <c r="K17" s="42">
        <v>710000000</v>
      </c>
      <c r="L17" s="59" t="s">
        <v>127</v>
      </c>
      <c r="M17" s="35" t="s">
        <v>124</v>
      </c>
      <c r="N17" s="36">
        <v>632810000</v>
      </c>
      <c r="O17" s="35" t="s">
        <v>144</v>
      </c>
      <c r="P17" s="35"/>
      <c r="Q17" s="35"/>
      <c r="R17" s="35"/>
      <c r="S17" s="37"/>
      <c r="T17" s="37"/>
      <c r="U17" s="36"/>
      <c r="V17" s="36"/>
      <c r="W17" s="36">
        <v>100</v>
      </c>
      <c r="X17" s="35" t="s">
        <v>125</v>
      </c>
      <c r="Y17" s="39">
        <v>40</v>
      </c>
      <c r="Z17" s="38">
        <v>19143.138000000003</v>
      </c>
      <c r="AA17" s="39">
        <f t="shared" si="0"/>
        <v>765725.52000000014</v>
      </c>
      <c r="AB17" s="39">
        <f t="shared" si="1"/>
        <v>857612.58240000019</v>
      </c>
      <c r="AC17" s="39"/>
      <c r="AD17" s="39"/>
      <c r="AE17" s="39"/>
      <c r="AF17" s="37" t="s">
        <v>129</v>
      </c>
      <c r="AG17" s="41" t="s">
        <v>134</v>
      </c>
      <c r="AH17" s="41" t="s">
        <v>135</v>
      </c>
      <c r="AI17" s="41"/>
      <c r="AJ17" s="35"/>
      <c r="AK17" s="35"/>
      <c r="AL17" s="41"/>
      <c r="AM17" s="35"/>
      <c r="AN17" s="35"/>
      <c r="AO17" s="41"/>
      <c r="AP17" s="35"/>
      <c r="AQ17" s="35"/>
      <c r="AR17" s="35"/>
      <c r="AS17" s="35" t="s">
        <v>128</v>
      </c>
      <c r="AT17" s="35" t="s">
        <v>128</v>
      </c>
      <c r="AU17" s="36"/>
      <c r="AV17" s="35"/>
      <c r="AW17" s="35" t="s">
        <v>132</v>
      </c>
      <c r="AX17" s="41" t="s">
        <v>136</v>
      </c>
      <c r="AY17" s="35" t="s">
        <v>131</v>
      </c>
      <c r="AZ17" s="35"/>
      <c r="BA17" s="25"/>
      <c r="BB17" s="25"/>
      <c r="BC17" s="25"/>
      <c r="BD17" s="24"/>
      <c r="BE17" s="26"/>
      <c r="BF17" s="27"/>
      <c r="BG17" s="24"/>
      <c r="BH17" s="60" t="s">
        <v>137</v>
      </c>
      <c r="BI17" s="60" t="s">
        <v>138</v>
      </c>
      <c r="BJ17" s="29"/>
      <c r="BK17" s="29"/>
      <c r="BL17" s="67">
        <v>1.78</v>
      </c>
      <c r="BM17" s="38">
        <v>19143.138000000003</v>
      </c>
      <c r="BN17" s="39">
        <f t="shared" si="2"/>
        <v>34074.785640000002</v>
      </c>
      <c r="BO17" s="39">
        <f t="shared" si="3"/>
        <v>38163.759916800009</v>
      </c>
      <c r="BP17" s="53">
        <f t="shared" si="4"/>
        <v>38.22</v>
      </c>
      <c r="BQ17" s="29"/>
      <c r="BR17" s="29"/>
      <c r="BS17" s="29"/>
      <c r="BT17" s="29"/>
      <c r="BU17" s="69">
        <f t="shared" si="5"/>
        <v>4.45</v>
      </c>
    </row>
    <row r="18" spans="1:73" s="18" customFormat="1" ht="48" customHeight="1" x14ac:dyDescent="0.25">
      <c r="A18" s="24"/>
      <c r="B18" s="22" t="s">
        <v>126</v>
      </c>
      <c r="C18" s="44"/>
      <c r="D18" s="58">
        <v>9</v>
      </c>
      <c r="E18" s="41" t="s">
        <v>133</v>
      </c>
      <c r="F18" s="41" t="s">
        <v>133</v>
      </c>
      <c r="G18" s="59" t="s">
        <v>139</v>
      </c>
      <c r="H18" s="35"/>
      <c r="I18" s="35"/>
      <c r="J18" s="36">
        <v>100</v>
      </c>
      <c r="K18" s="36">
        <v>710000000</v>
      </c>
      <c r="L18" s="59" t="s">
        <v>127</v>
      </c>
      <c r="M18" s="35" t="s">
        <v>124</v>
      </c>
      <c r="N18" s="36">
        <v>396473100</v>
      </c>
      <c r="O18" s="35" t="s">
        <v>145</v>
      </c>
      <c r="P18" s="35"/>
      <c r="Q18" s="35"/>
      <c r="R18" s="35"/>
      <c r="S18" s="37"/>
      <c r="T18" s="37"/>
      <c r="U18" s="36"/>
      <c r="V18" s="36"/>
      <c r="W18" s="36">
        <v>100</v>
      </c>
      <c r="X18" s="35" t="s">
        <v>125</v>
      </c>
      <c r="Y18" s="39">
        <v>20</v>
      </c>
      <c r="Z18" s="38">
        <v>19143.138000000003</v>
      </c>
      <c r="AA18" s="39">
        <f t="shared" si="0"/>
        <v>382862.76000000007</v>
      </c>
      <c r="AB18" s="39">
        <f t="shared" si="1"/>
        <v>428806.29120000009</v>
      </c>
      <c r="AC18" s="39"/>
      <c r="AD18" s="39"/>
      <c r="AE18" s="39"/>
      <c r="AF18" s="37" t="s">
        <v>129</v>
      </c>
      <c r="AG18" s="41" t="s">
        <v>134</v>
      </c>
      <c r="AH18" s="41" t="s">
        <v>135</v>
      </c>
      <c r="AI18" s="41"/>
      <c r="AJ18" s="35"/>
      <c r="AK18" s="35" t="s">
        <v>140</v>
      </c>
      <c r="AL18" s="41"/>
      <c r="AM18" s="35"/>
      <c r="AN18" s="35"/>
      <c r="AO18" s="41"/>
      <c r="AP18" s="35"/>
      <c r="AQ18" s="35"/>
      <c r="AR18" s="35"/>
      <c r="AS18" s="35" t="s">
        <v>128</v>
      </c>
      <c r="AT18" s="35" t="s">
        <v>128</v>
      </c>
      <c r="AU18" s="36"/>
      <c r="AV18" s="35"/>
      <c r="AW18" s="35" t="s">
        <v>132</v>
      </c>
      <c r="AX18" s="41" t="s">
        <v>136</v>
      </c>
      <c r="AY18" s="35" t="s">
        <v>131</v>
      </c>
      <c r="AZ18" s="35"/>
      <c r="BA18" s="25"/>
      <c r="BB18" s="25"/>
      <c r="BC18" s="25"/>
      <c r="BD18" s="24"/>
      <c r="BE18" s="26"/>
      <c r="BF18" s="27"/>
      <c r="BG18" s="24"/>
      <c r="BH18" s="60" t="s">
        <v>137</v>
      </c>
      <c r="BI18" s="60" t="s">
        <v>138</v>
      </c>
      <c r="BJ18" s="29"/>
      <c r="BK18" s="29"/>
      <c r="BL18" s="35">
        <v>0</v>
      </c>
      <c r="BM18" s="38">
        <v>19143.138000000003</v>
      </c>
      <c r="BN18" s="39">
        <f t="shared" si="2"/>
        <v>0</v>
      </c>
      <c r="BO18" s="39">
        <f t="shared" si="3"/>
        <v>0</v>
      </c>
      <c r="BP18" s="53">
        <f t="shared" si="4"/>
        <v>20</v>
      </c>
      <c r="BQ18" s="29"/>
      <c r="BR18" s="29"/>
      <c r="BS18" s="29"/>
      <c r="BT18" s="29"/>
      <c r="BU18" s="69">
        <f>BL18/Y18*100</f>
        <v>0</v>
      </c>
    </row>
    <row r="19" spans="1:73" s="18" customFormat="1" ht="48" customHeight="1" x14ac:dyDescent="0.25">
      <c r="A19" s="24"/>
      <c r="B19" s="22" t="s">
        <v>126</v>
      </c>
      <c r="C19" s="44"/>
      <c r="D19" s="58">
        <v>10</v>
      </c>
      <c r="E19" s="41" t="s">
        <v>133</v>
      </c>
      <c r="F19" s="41" t="s">
        <v>133</v>
      </c>
      <c r="G19" s="59" t="s">
        <v>139</v>
      </c>
      <c r="H19" s="35"/>
      <c r="I19" s="35"/>
      <c r="J19" s="36">
        <v>100</v>
      </c>
      <c r="K19" s="42">
        <v>710000000</v>
      </c>
      <c r="L19" s="59" t="s">
        <v>127</v>
      </c>
      <c r="M19" s="35" t="s">
        <v>124</v>
      </c>
      <c r="N19" s="36">
        <v>356471100</v>
      </c>
      <c r="O19" s="35" t="s">
        <v>150</v>
      </c>
      <c r="P19" s="35"/>
      <c r="Q19" s="35"/>
      <c r="R19" s="35"/>
      <c r="S19" s="37"/>
      <c r="T19" s="37"/>
      <c r="U19" s="36"/>
      <c r="V19" s="36"/>
      <c r="W19" s="36">
        <v>100</v>
      </c>
      <c r="X19" s="35" t="s">
        <v>125</v>
      </c>
      <c r="Y19" s="39">
        <v>100</v>
      </c>
      <c r="Z19" s="38">
        <v>19143.138000000003</v>
      </c>
      <c r="AA19" s="39">
        <f t="shared" si="0"/>
        <v>1914313.8000000003</v>
      </c>
      <c r="AB19" s="39">
        <f t="shared" si="1"/>
        <v>2144031.4560000007</v>
      </c>
      <c r="AC19" s="39"/>
      <c r="AD19" s="39"/>
      <c r="AE19" s="39"/>
      <c r="AF19" s="37" t="s">
        <v>129</v>
      </c>
      <c r="AG19" s="41" t="s">
        <v>134</v>
      </c>
      <c r="AH19" s="41" t="s">
        <v>135</v>
      </c>
      <c r="AI19" s="41"/>
      <c r="AJ19" s="35"/>
      <c r="AK19" s="35"/>
      <c r="AL19" s="41"/>
      <c r="AM19" s="35"/>
      <c r="AN19" s="35"/>
      <c r="AO19" s="41"/>
      <c r="AP19" s="35"/>
      <c r="AQ19" s="35"/>
      <c r="AR19" s="35"/>
      <c r="AS19" s="35" t="s">
        <v>128</v>
      </c>
      <c r="AT19" s="35" t="s">
        <v>128</v>
      </c>
      <c r="AU19" s="36"/>
      <c r="AV19" s="35"/>
      <c r="AW19" s="35" t="s">
        <v>132</v>
      </c>
      <c r="AX19" s="41" t="s">
        <v>136</v>
      </c>
      <c r="AY19" s="35" t="s">
        <v>131</v>
      </c>
      <c r="AZ19" s="35"/>
      <c r="BA19" s="25"/>
      <c r="BB19" s="25"/>
      <c r="BC19" s="25"/>
      <c r="BD19" s="24"/>
      <c r="BE19" s="26"/>
      <c r="BF19" s="27"/>
      <c r="BG19" s="24"/>
      <c r="BH19" s="60" t="s">
        <v>137</v>
      </c>
      <c r="BI19" s="60" t="s">
        <v>138</v>
      </c>
      <c r="BJ19" s="29"/>
      <c r="BK19" s="29"/>
      <c r="BL19" s="66">
        <v>4.3680000000000003</v>
      </c>
      <c r="BM19" s="38">
        <v>19143.138000000003</v>
      </c>
      <c r="BN19" s="39">
        <f t="shared" si="2"/>
        <v>83617.226784000013</v>
      </c>
      <c r="BO19" s="39">
        <f t="shared" si="3"/>
        <v>93651.293998080029</v>
      </c>
      <c r="BP19" s="53">
        <f t="shared" si="4"/>
        <v>95.632000000000005</v>
      </c>
      <c r="BQ19" s="29"/>
      <c r="BR19" s="29"/>
      <c r="BS19" s="29"/>
      <c r="BT19" s="29"/>
      <c r="BU19" s="69">
        <f t="shared" si="5"/>
        <v>4.3680000000000003</v>
      </c>
    </row>
    <row r="20" spans="1:73" s="18" customFormat="1" ht="77.25" hidden="1" customHeight="1" x14ac:dyDescent="0.25">
      <c r="A20" s="24"/>
      <c r="B20" s="22"/>
      <c r="C20" s="44"/>
      <c r="D20" s="58"/>
      <c r="E20" s="41"/>
      <c r="F20" s="41"/>
      <c r="G20" s="59"/>
      <c r="H20" s="35"/>
      <c r="I20" s="35"/>
      <c r="J20" s="36"/>
      <c r="K20" s="42"/>
      <c r="L20" s="59"/>
      <c r="M20" s="35"/>
      <c r="N20" s="36"/>
      <c r="O20" s="35"/>
      <c r="P20" s="35"/>
      <c r="Q20" s="35"/>
      <c r="R20" s="35"/>
      <c r="S20" s="37"/>
      <c r="T20" s="37"/>
      <c r="U20" s="36"/>
      <c r="V20" s="36"/>
      <c r="W20" s="36"/>
      <c r="X20" s="35"/>
      <c r="Y20" s="39"/>
      <c r="Z20" s="38">
        <v>19143.138000000003</v>
      </c>
      <c r="AA20" s="39"/>
      <c r="AB20" s="39"/>
      <c r="AC20" s="39"/>
      <c r="AD20" s="39"/>
      <c r="AE20" s="39"/>
      <c r="AF20" s="37"/>
      <c r="AG20" s="41"/>
      <c r="AH20" s="41"/>
      <c r="AI20" s="41"/>
      <c r="AJ20" s="35"/>
      <c r="AK20" s="35"/>
      <c r="AL20" s="41"/>
      <c r="AM20" s="35"/>
      <c r="AN20" s="35"/>
      <c r="AO20" s="41"/>
      <c r="AP20" s="35"/>
      <c r="AQ20" s="35"/>
      <c r="AR20" s="35"/>
      <c r="AS20" s="35"/>
      <c r="AT20" s="35"/>
      <c r="AU20" s="36"/>
      <c r="AV20" s="35"/>
      <c r="AW20" s="35"/>
      <c r="AX20" s="41"/>
      <c r="AY20" s="35"/>
      <c r="AZ20" s="35"/>
      <c r="BA20" s="25"/>
      <c r="BB20" s="25"/>
      <c r="BC20" s="25"/>
      <c r="BD20" s="24"/>
      <c r="BE20" s="26"/>
      <c r="BF20" s="27"/>
      <c r="BG20" s="24"/>
      <c r="BH20" s="60"/>
      <c r="BI20" s="60"/>
      <c r="BJ20" s="29"/>
      <c r="BK20" s="29"/>
      <c r="BL20" s="35"/>
      <c r="BM20" s="38">
        <v>19143.138000000003</v>
      </c>
      <c r="BN20" s="39">
        <f t="shared" si="2"/>
        <v>0</v>
      </c>
      <c r="BO20" s="39"/>
      <c r="BP20" s="53">
        <f t="shared" si="4"/>
        <v>0</v>
      </c>
      <c r="BQ20" s="29"/>
      <c r="BR20" s="29"/>
      <c r="BS20" s="29"/>
      <c r="BT20" s="29"/>
      <c r="BU20" s="69" t="e">
        <f t="shared" si="5"/>
        <v>#DIV/0!</v>
      </c>
    </row>
    <row r="21" spans="1:73" s="18" customFormat="1" ht="48" customHeight="1" x14ac:dyDescent="0.25">
      <c r="A21" s="24"/>
      <c r="B21" s="22" t="s">
        <v>126</v>
      </c>
      <c r="C21" s="44"/>
      <c r="D21" s="58">
        <v>11</v>
      </c>
      <c r="E21" s="41" t="s">
        <v>133</v>
      </c>
      <c r="F21" s="41" t="s">
        <v>133</v>
      </c>
      <c r="G21" s="59" t="s">
        <v>139</v>
      </c>
      <c r="H21" s="35"/>
      <c r="I21" s="35"/>
      <c r="J21" s="36">
        <v>100</v>
      </c>
      <c r="K21" s="42">
        <v>710000000</v>
      </c>
      <c r="L21" s="59" t="s">
        <v>127</v>
      </c>
      <c r="M21" s="35" t="s">
        <v>124</v>
      </c>
      <c r="N21" s="36">
        <v>551010000</v>
      </c>
      <c r="O21" s="35" t="s">
        <v>146</v>
      </c>
      <c r="P21" s="35"/>
      <c r="Q21" s="35"/>
      <c r="R21" s="35"/>
      <c r="S21" s="37"/>
      <c r="T21" s="37"/>
      <c r="U21" s="36"/>
      <c r="V21" s="36"/>
      <c r="W21" s="36">
        <v>100</v>
      </c>
      <c r="X21" s="35" t="s">
        <v>125</v>
      </c>
      <c r="Y21" s="39">
        <v>150</v>
      </c>
      <c r="Z21" s="38">
        <v>19143.138000000003</v>
      </c>
      <c r="AA21" s="39">
        <f t="shared" si="0"/>
        <v>2871470.7</v>
      </c>
      <c r="AB21" s="39">
        <f t="shared" si="1"/>
        <v>3216047.1840000004</v>
      </c>
      <c r="AC21" s="39"/>
      <c r="AD21" s="39"/>
      <c r="AE21" s="39"/>
      <c r="AF21" s="37" t="s">
        <v>129</v>
      </c>
      <c r="AG21" s="41" t="s">
        <v>134</v>
      </c>
      <c r="AH21" s="41" t="s">
        <v>135</v>
      </c>
      <c r="AI21" s="41"/>
      <c r="AJ21" s="35"/>
      <c r="AK21" s="35"/>
      <c r="AL21" s="41"/>
      <c r="AM21" s="35"/>
      <c r="AN21" s="35"/>
      <c r="AO21" s="41"/>
      <c r="AP21" s="35"/>
      <c r="AQ21" s="35"/>
      <c r="AR21" s="35"/>
      <c r="AS21" s="35" t="s">
        <v>128</v>
      </c>
      <c r="AT21" s="35" t="s">
        <v>128</v>
      </c>
      <c r="AU21" s="36"/>
      <c r="AV21" s="35"/>
      <c r="AW21" s="35" t="s">
        <v>132</v>
      </c>
      <c r="AX21" s="41" t="s">
        <v>136</v>
      </c>
      <c r="AY21" s="35" t="s">
        <v>131</v>
      </c>
      <c r="AZ21" s="35"/>
      <c r="BA21" s="25"/>
      <c r="BB21" s="25"/>
      <c r="BC21" s="25"/>
      <c r="BD21" s="24"/>
      <c r="BE21" s="26"/>
      <c r="BF21" s="27"/>
      <c r="BG21" s="24"/>
      <c r="BH21" s="60" t="s">
        <v>137</v>
      </c>
      <c r="BI21" s="60" t="s">
        <v>138</v>
      </c>
      <c r="BJ21" s="29"/>
      <c r="BK21" s="29"/>
      <c r="BL21" s="67">
        <v>16.100000000000001</v>
      </c>
      <c r="BM21" s="38">
        <v>19143.138000000003</v>
      </c>
      <c r="BN21" s="39">
        <f t="shared" si="2"/>
        <v>308204.52180000005</v>
      </c>
      <c r="BO21" s="39">
        <f t="shared" si="3"/>
        <v>345189.0644160001</v>
      </c>
      <c r="BP21" s="53">
        <f>Y21-BL21</f>
        <v>133.9</v>
      </c>
      <c r="BQ21" s="29"/>
      <c r="BR21" s="29"/>
      <c r="BS21" s="29"/>
      <c r="BT21" s="29"/>
      <c r="BU21" s="69">
        <f>BL21/Y21*100</f>
        <v>10.733333333333334</v>
      </c>
    </row>
    <row r="22" spans="1:73" s="18" customFormat="1" ht="48" customHeight="1" x14ac:dyDescent="0.25">
      <c r="A22" s="24"/>
      <c r="B22" s="22" t="s">
        <v>126</v>
      </c>
      <c r="C22" s="44"/>
      <c r="D22" s="46">
        <v>12</v>
      </c>
      <c r="E22" s="32" t="s">
        <v>133</v>
      </c>
      <c r="F22" s="32" t="s">
        <v>133</v>
      </c>
      <c r="G22" s="33" t="s">
        <v>139</v>
      </c>
      <c r="H22" s="34"/>
      <c r="I22" s="35"/>
      <c r="J22" s="36">
        <v>100</v>
      </c>
      <c r="K22" s="42">
        <v>710000000</v>
      </c>
      <c r="L22" s="33" t="s">
        <v>127</v>
      </c>
      <c r="M22" s="35" t="s">
        <v>124</v>
      </c>
      <c r="N22" s="36">
        <v>433257100</v>
      </c>
      <c r="O22" s="35" t="s">
        <v>147</v>
      </c>
      <c r="P22" s="35"/>
      <c r="Q22" s="35"/>
      <c r="R22" s="35"/>
      <c r="S22" s="37"/>
      <c r="T22" s="37"/>
      <c r="U22" s="36"/>
      <c r="V22" s="36"/>
      <c r="W22" s="36">
        <v>100</v>
      </c>
      <c r="X22" s="35" t="s">
        <v>125</v>
      </c>
      <c r="Y22" s="38">
        <v>100</v>
      </c>
      <c r="Z22" s="38">
        <v>19143.138000000003</v>
      </c>
      <c r="AA22" s="39">
        <f t="shared" si="0"/>
        <v>1914313.8000000003</v>
      </c>
      <c r="AB22" s="39">
        <f t="shared" si="1"/>
        <v>2144031.4560000007</v>
      </c>
      <c r="AC22" s="39"/>
      <c r="AD22" s="39"/>
      <c r="AE22" s="39"/>
      <c r="AF22" s="40" t="s">
        <v>129</v>
      </c>
      <c r="AG22" s="32" t="s">
        <v>134</v>
      </c>
      <c r="AH22" s="32" t="s">
        <v>135</v>
      </c>
      <c r="AI22" s="41"/>
      <c r="AJ22" s="35"/>
      <c r="AK22" s="35"/>
      <c r="AL22" s="41"/>
      <c r="AM22" s="35"/>
      <c r="AN22" s="35"/>
      <c r="AO22" s="41"/>
      <c r="AP22" s="35"/>
      <c r="AQ22" s="35"/>
      <c r="AR22" s="35"/>
      <c r="AS22" s="34" t="s">
        <v>128</v>
      </c>
      <c r="AT22" s="34" t="s">
        <v>128</v>
      </c>
      <c r="AU22" s="36"/>
      <c r="AV22" s="35"/>
      <c r="AW22" s="34" t="s">
        <v>132</v>
      </c>
      <c r="AX22" s="32" t="s">
        <v>136</v>
      </c>
      <c r="AY22" s="35" t="s">
        <v>131</v>
      </c>
      <c r="AZ22" s="35"/>
      <c r="BA22" s="25"/>
      <c r="BB22" s="25"/>
      <c r="BC22" s="25"/>
      <c r="BD22" s="24"/>
      <c r="BE22" s="26"/>
      <c r="BF22" s="27"/>
      <c r="BG22" s="24"/>
      <c r="BH22" s="31" t="s">
        <v>137</v>
      </c>
      <c r="BI22" s="31" t="s">
        <v>138</v>
      </c>
      <c r="BJ22" s="29"/>
      <c r="BK22" s="29"/>
      <c r="BL22" s="67">
        <v>4.9000000000000004</v>
      </c>
      <c r="BM22" s="38">
        <v>19143.138000000003</v>
      </c>
      <c r="BN22" s="39">
        <f t="shared" si="2"/>
        <v>93801.376200000013</v>
      </c>
      <c r="BO22" s="39">
        <f t="shared" si="3"/>
        <v>105057.54134400003</v>
      </c>
      <c r="BP22" s="53">
        <f t="shared" si="4"/>
        <v>95.1</v>
      </c>
      <c r="BQ22" s="28"/>
      <c r="BR22" s="28"/>
      <c r="BS22" s="28"/>
      <c r="BT22" s="28"/>
      <c r="BU22" s="68">
        <f>BL22/Y22*100</f>
        <v>4.9000000000000004</v>
      </c>
    </row>
    <row r="23" spans="1:73" ht="38.25" customHeight="1" thickBot="1" x14ac:dyDescent="0.35">
      <c r="D23" s="87" t="s">
        <v>148</v>
      </c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47"/>
      <c r="Y23" s="48">
        <f>Y9+Y10+Y11+Y12+Y13+Y14+Y15+Y16+Y17+Y18+Y19+Y21+Y22</f>
        <v>2383</v>
      </c>
      <c r="Z23" s="49"/>
      <c r="AA23" s="50">
        <f>AA9+AA10+AA11+AA12+AA13+AA14+AA15+AA16+AA17+AA18+AA19+AA21+AA22</f>
        <v>45618097.854000002</v>
      </c>
      <c r="AB23" s="48">
        <f>AB9+AB10+AB11+AB12+AB13+AB14+AB15+AB16+AB17+AB18+AB19+AB21+AB22</f>
        <v>51092269.596480012</v>
      </c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55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55">
        <f>BL9+BL10+BL11+BL13+BL14+BL15+BL16+BL17+BL18+BL19+BL21+BL22</f>
        <v>281.36799999999999</v>
      </c>
      <c r="BM23" s="49"/>
      <c r="BN23" s="48">
        <f>BN9+BN10+BN11+BN13+BN14+BN15+BN16+BN17+BN18+BN19+BN21+BN22</f>
        <v>5386266.4527840018</v>
      </c>
      <c r="BO23" s="64">
        <f>BO9+BO10+BO11+BO13+BO14+BO15+BO16+BO17+BO18+BO19+BO21+BO22</f>
        <v>6032618.4271180816</v>
      </c>
      <c r="BP23" s="48">
        <f>BP9+BP10+BP11+BP13+BP14+BP15+BP16+BP17+BP18+BP19+BP21+BP22</f>
        <v>2001.6319999999998</v>
      </c>
      <c r="BQ23" s="49"/>
      <c r="BR23" s="54"/>
      <c r="BS23" s="54"/>
      <c r="BT23" s="54"/>
      <c r="BU23" s="63">
        <f>BL23/Y23*100</f>
        <v>11.807301720520352</v>
      </c>
    </row>
    <row r="148" spans="28:28" x14ac:dyDescent="0.25">
      <c r="AB148" s="30"/>
    </row>
  </sheetData>
  <autoFilter ref="A8:DO22"/>
  <mergeCells count="71">
    <mergeCell ref="BR6:BR7"/>
    <mergeCell ref="BU6:BU7"/>
    <mergeCell ref="D23:W23"/>
    <mergeCell ref="BL6:BL7"/>
    <mergeCell ref="BM6:BM7"/>
    <mergeCell ref="BN6:BN7"/>
    <mergeCell ref="BO6:BO7"/>
    <mergeCell ref="BP6:BP7"/>
    <mergeCell ref="BQ6:BQ7"/>
    <mergeCell ref="AH6:AH7"/>
    <mergeCell ref="AI6:AK6"/>
    <mergeCell ref="AL6:AN6"/>
    <mergeCell ref="AO6:AQ6"/>
    <mergeCell ref="AZ6:AZ7"/>
    <mergeCell ref="BB6:BB7"/>
    <mergeCell ref="BI5:BI7"/>
    <mergeCell ref="BJ5:BJ7"/>
    <mergeCell ref="BK5:BK7"/>
    <mergeCell ref="BL5:BU5"/>
    <mergeCell ref="Q6:R6"/>
    <mergeCell ref="S6:T6"/>
    <mergeCell ref="Y6:Y7"/>
    <mergeCell ref="Z6:Z7"/>
    <mergeCell ref="AA6:AA7"/>
    <mergeCell ref="AB6:AB7"/>
    <mergeCell ref="BA5:BA7"/>
    <mergeCell ref="BB5:BD5"/>
    <mergeCell ref="BE5:BE7"/>
    <mergeCell ref="BF5:BF7"/>
    <mergeCell ref="BG5:BG7"/>
    <mergeCell ref="BH5:BH7"/>
    <mergeCell ref="BC6:BC7"/>
    <mergeCell ref="BD6:BD7"/>
    <mergeCell ref="AT5:AT7"/>
    <mergeCell ref="AU5:AU7"/>
    <mergeCell ref="AV5:AV7"/>
    <mergeCell ref="AW5:AW7"/>
    <mergeCell ref="AX5:AX7"/>
    <mergeCell ref="AY5:AY7"/>
    <mergeCell ref="X5:X7"/>
    <mergeCell ref="AS5:AS7"/>
    <mergeCell ref="AC6:AC7"/>
    <mergeCell ref="AD6:AD7"/>
    <mergeCell ref="AE6:AE7"/>
    <mergeCell ref="AG6:AG7"/>
    <mergeCell ref="AC5:AE5"/>
    <mergeCell ref="AF5:AF7"/>
    <mergeCell ref="AG5:AH5"/>
    <mergeCell ref="AI5:AQ5"/>
    <mergeCell ref="AR5:AR7"/>
    <mergeCell ref="N5:N7"/>
    <mergeCell ref="O5:O7"/>
    <mergeCell ref="P5:P7"/>
    <mergeCell ref="Q5:T5"/>
    <mergeCell ref="U5:W6"/>
    <mergeCell ref="E2:AA2"/>
    <mergeCell ref="E3:BO3"/>
    <mergeCell ref="A5:A7"/>
    <mergeCell ref="B5:B7"/>
    <mergeCell ref="C5:C7"/>
    <mergeCell ref="D5:D7"/>
    <mergeCell ref="E5:E7"/>
    <mergeCell ref="F5:F7"/>
    <mergeCell ref="G5:G7"/>
    <mergeCell ref="H5:H7"/>
    <mergeCell ref="Y5:AB5"/>
    <mergeCell ref="I5:I7"/>
    <mergeCell ref="J5:J7"/>
    <mergeCell ref="K5:K7"/>
    <mergeCell ref="L5:L7"/>
    <mergeCell ref="M5:M7"/>
  </mergeCells>
  <dataValidations count="5">
    <dataValidation type="custom" allowBlank="1" showInputMessage="1" showErrorMessage="1" sqref="BN9:BN22">
      <formula1>BK9*BM9</formula1>
    </dataValidation>
    <dataValidation type="custom" allowBlank="1" showInputMessage="1" showErrorMessage="1" sqref="AA9:AA22">
      <formula1>Y9*Z9</formula1>
    </dataValidation>
    <dataValidation type="list" allowBlank="1" showInputMessage="1" showErrorMessage="1" sqref="G9:G22">
      <formula1>Способ_закупок</formula1>
    </dataValidation>
    <dataValidation type="whole" allowBlank="1" showInputMessage="1" showErrorMessage="1" sqref="U9:W22 J9:J22">
      <formula1>0</formula1>
      <formula2>100</formula2>
    </dataValidation>
    <dataValidation type="textLength" operator="equal" allowBlank="1" showInputMessage="1" showErrorMessage="1" error="Код КАТО должен содержать 9 символов" sqref="N9:N10 N18 K9:K22">
      <formula1>9</formula1>
    </dataValidation>
  </dataValidations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1</vt:lpstr>
      <vt:lpstr>2</vt:lpstr>
      <vt:lpstr>'1'!Область_печати</vt:lpstr>
      <vt:lpstr>'2'!Область_печати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2025-03-31T10:55:31Z</dcterms:modified>
</cp:coreProperties>
</file>