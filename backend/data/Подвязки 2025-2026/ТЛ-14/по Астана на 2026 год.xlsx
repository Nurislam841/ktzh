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4240" windowHeight="13020" activeTab="1"/>
  </bookViews>
  <sheets>
    <sheet name="декабрь с 13.12" sheetId="1" r:id="rId1"/>
    <sheet name="январь" sheetId="3" r:id="rId2"/>
  </sheets>
  <calcPr calcId="15251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8" i="1" l="1"/>
  <c r="Q28" i="1"/>
  <c r="O28" i="1"/>
  <c r="M28" i="1"/>
  <c r="K28" i="1"/>
  <c r="I28" i="1"/>
  <c r="G28" i="1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G13" i="3"/>
  <c r="H13" i="3"/>
  <c r="I13" i="3"/>
  <c r="AE23" i="3"/>
  <c r="AC23" i="3"/>
  <c r="AA23" i="3"/>
  <c r="Y23" i="3"/>
  <c r="W23" i="3"/>
  <c r="U23" i="3"/>
  <c r="S23" i="3"/>
  <c r="Q23" i="3"/>
  <c r="O23" i="3"/>
  <c r="M23" i="3"/>
  <c r="K23" i="3"/>
  <c r="I23" i="3"/>
  <c r="G23" i="3"/>
  <c r="E13" i="3"/>
  <c r="C23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B28" i="3"/>
  <c r="AF18" i="3"/>
  <c r="AE18" i="3"/>
  <c r="AD18" i="3"/>
  <c r="AC18" i="3"/>
  <c r="AB18" i="3"/>
  <c r="AA18" i="3"/>
  <c r="Z18" i="3"/>
  <c r="Y18" i="3"/>
  <c r="X18" i="3"/>
  <c r="W18" i="3"/>
  <c r="V18" i="3"/>
  <c r="U18" i="3"/>
  <c r="AF8" i="3"/>
  <c r="AD8" i="3"/>
  <c r="AB8" i="3"/>
  <c r="Z8" i="3"/>
  <c r="X8" i="3"/>
  <c r="V8" i="3"/>
  <c r="T8" i="3"/>
  <c r="C2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F13" i="3"/>
  <c r="D13" i="3"/>
  <c r="C13" i="3"/>
  <c r="B13" i="3"/>
  <c r="R8" i="3"/>
  <c r="P8" i="3"/>
  <c r="N8" i="3"/>
  <c r="L8" i="3"/>
  <c r="J8" i="3"/>
  <c r="H8" i="3"/>
  <c r="F8" i="3"/>
  <c r="D8" i="3"/>
  <c r="B8" i="3"/>
  <c r="T18" i="1" l="1"/>
  <c r="S18" i="1"/>
  <c r="R18" i="1"/>
  <c r="Q18" i="1"/>
  <c r="P18" i="1"/>
  <c r="O18" i="1"/>
  <c r="N18" i="1"/>
  <c r="M18" i="1"/>
  <c r="L18" i="1"/>
  <c r="K18" i="1"/>
  <c r="J18" i="1"/>
  <c r="I18" i="1"/>
  <c r="H18" i="1"/>
  <c r="F18" i="1"/>
  <c r="E18" i="1"/>
  <c r="D18" i="1"/>
  <c r="C18" i="1"/>
  <c r="T33" i="1" l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S13" i="1"/>
  <c r="Q13" i="1"/>
  <c r="O13" i="1"/>
  <c r="M13" i="1"/>
  <c r="K13" i="1"/>
  <c r="I13" i="1"/>
  <c r="G13" i="1"/>
  <c r="E13" i="1"/>
  <c r="C13" i="1"/>
</calcChain>
</file>

<file path=xl/sharedStrings.xml><?xml version="1.0" encoding="utf-8"?>
<sst xmlns="http://schemas.openxmlformats.org/spreadsheetml/2006/main" count="128" uniqueCount="27">
  <si>
    <t>Астана</t>
  </si>
  <si>
    <t>пн</t>
  </si>
  <si>
    <t>вт</t>
  </si>
  <si>
    <t>ср</t>
  </si>
  <si>
    <t>чт</t>
  </si>
  <si>
    <t>пт</t>
  </si>
  <si>
    <t>сб</t>
  </si>
  <si>
    <t>вс</t>
  </si>
  <si>
    <t>отцепка лок-ва от поезда</t>
  </si>
  <si>
    <t>53нж</t>
  </si>
  <si>
    <t>вр.прибытие поезда</t>
  </si>
  <si>
    <t>прицепка лок-ва к поезду</t>
  </si>
  <si>
    <t>время отправления поезда</t>
  </si>
  <si>
    <t>время простоя локомотива</t>
  </si>
  <si>
    <t xml:space="preserve"> переход</t>
  </si>
  <si>
    <t>под 66</t>
  </si>
  <si>
    <t xml:space="preserve">  </t>
  </si>
  <si>
    <t>Январь</t>
  </si>
  <si>
    <t xml:space="preserve">на </t>
  </si>
  <si>
    <t>переход</t>
  </si>
  <si>
    <t>29 вагов(TN-03 TN-01)</t>
  </si>
  <si>
    <t>23 вагов(KZ-14)</t>
  </si>
  <si>
    <t>66/65</t>
  </si>
  <si>
    <t>Примечания</t>
  </si>
  <si>
    <t>из</t>
  </si>
  <si>
    <t>депо</t>
  </si>
  <si>
    <t xml:space="preserve">из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</si>
</sst>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400]h:mm:ss\ AM/PM"/>
    <numFmt numFmtId="165" formatCode="[h]:mm:ss;@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00B050"/>
      <name val="Times New Roman"/>
      <family val="1"/>
      <charset val="204"/>
    </font>
    <font>
      <sz val="10"/>
      <name val="Times New Roman"/>
      <family val="1"/>
      <charset val="204"/>
    </font>
    <font>
      <sz val="12"/>
      <color rgb="FF00B050"/>
      <name val="Times New Roman"/>
      <family val="1"/>
      <charset val="204"/>
    </font>
    <font>
      <b/>
      <sz val="12"/>
      <color theme="3"/>
      <name val="Times New Roman"/>
      <family val="1"/>
      <charset val="204"/>
    </font>
    <font>
      <b/>
      <sz val="12"/>
      <color theme="4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4"/>
      <name val="Times New Roman"/>
      <family val="1"/>
      <charset val="204"/>
    </font>
    <font>
      <sz val="12"/>
      <color theme="3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1" fillId="2" borderId="0" xfId="0" applyFont="1" applyFill="1"/>
    <xf numFmtId="0" fontId="4" fillId="2" borderId="6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2" borderId="7" xfId="0" applyFont="1" applyFill="1" applyBorder="1" applyAlignment="1">
      <alignment horizontal="left"/>
    </xf>
    <xf numFmtId="20" fontId="5" fillId="2" borderId="10" xfId="0" quotePrefix="1" applyNumberFormat="1" applyFont="1" applyFill="1" applyBorder="1" applyAlignment="1">
      <alignment horizontal="center"/>
    </xf>
    <xf numFmtId="20" fontId="5" fillId="2" borderId="10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20" fontId="4" fillId="2" borderId="10" xfId="0" quotePrefix="1" applyNumberFormat="1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20" fontId="5" fillId="2" borderId="11" xfId="0" quotePrefix="1" applyNumberFormat="1" applyFont="1" applyFill="1" applyBorder="1" applyAlignment="1">
      <alignment horizontal="center"/>
    </xf>
    <xf numFmtId="20" fontId="8" fillId="2" borderId="10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right"/>
    </xf>
    <xf numFmtId="0" fontId="3" fillId="2" borderId="9" xfId="0" applyFont="1" applyFill="1" applyBorder="1" applyAlignment="1">
      <alignment horizontal="left"/>
    </xf>
    <xf numFmtId="0" fontId="7" fillId="2" borderId="5" xfId="0" applyFont="1" applyFill="1" applyBorder="1"/>
    <xf numFmtId="0" fontId="7" fillId="2" borderId="13" xfId="0" applyFont="1" applyFill="1" applyBorder="1"/>
    <xf numFmtId="20" fontId="4" fillId="2" borderId="10" xfId="0" applyNumberFormat="1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20" fontId="6" fillId="2" borderId="10" xfId="0" applyNumberFormat="1" applyFont="1" applyFill="1" applyBorder="1" applyAlignment="1">
      <alignment horizontal="center"/>
    </xf>
    <xf numFmtId="20" fontId="8" fillId="2" borderId="14" xfId="0" applyNumberFormat="1" applyFont="1" applyFill="1" applyBorder="1" applyAlignment="1">
      <alignment horizontal="center"/>
    </xf>
    <xf numFmtId="20" fontId="8" fillId="2" borderId="16" xfId="0" applyNumberFormat="1" applyFont="1" applyFill="1" applyBorder="1" applyAlignment="1">
      <alignment horizontal="center"/>
    </xf>
    <xf numFmtId="0" fontId="3" fillId="2" borderId="17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left"/>
    </xf>
    <xf numFmtId="0" fontId="5" fillId="2" borderId="10" xfId="0" applyFont="1" applyFill="1" applyBorder="1"/>
    <xf numFmtId="0" fontId="1" fillId="2" borderId="19" xfId="0" applyFont="1" applyFill="1" applyBorder="1" applyAlignment="1">
      <alignment horizontal="right"/>
    </xf>
    <xf numFmtId="20" fontId="6" fillId="2" borderId="10" xfId="0" quotePrefix="1" applyNumberFormat="1" applyFont="1" applyFill="1" applyBorder="1" applyAlignment="1">
      <alignment horizontal="center"/>
    </xf>
    <xf numFmtId="22" fontId="5" fillId="2" borderId="10" xfId="0" applyNumberFormat="1" applyFont="1" applyFill="1" applyBorder="1"/>
    <xf numFmtId="164" fontId="5" fillId="2" borderId="10" xfId="0" applyNumberFormat="1" applyFont="1" applyFill="1" applyBorder="1"/>
    <xf numFmtId="0" fontId="3" fillId="2" borderId="19" xfId="0" applyFont="1" applyFill="1" applyBorder="1" applyAlignment="1">
      <alignment horizontal="left"/>
    </xf>
    <xf numFmtId="0" fontId="7" fillId="2" borderId="22" xfId="0" applyFont="1" applyFill="1" applyBorder="1"/>
    <xf numFmtId="20" fontId="8" fillId="2" borderId="6" xfId="0" applyNumberFormat="1" applyFont="1" applyFill="1" applyBorder="1" applyAlignment="1">
      <alignment horizontal="left"/>
    </xf>
    <xf numFmtId="0" fontId="5" fillId="2" borderId="6" xfId="0" applyFont="1" applyFill="1" applyBorder="1"/>
    <xf numFmtId="0" fontId="5" fillId="2" borderId="7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left"/>
    </xf>
    <xf numFmtId="20" fontId="4" fillId="2" borderId="11" xfId="0" quotePrefix="1" applyNumberFormat="1" applyFont="1" applyFill="1" applyBorder="1" applyAlignment="1">
      <alignment horizontal="center"/>
    </xf>
    <xf numFmtId="0" fontId="7" fillId="2" borderId="20" xfId="0" applyFont="1" applyFill="1" applyBorder="1"/>
    <xf numFmtId="0" fontId="5" fillId="2" borderId="14" xfId="0" applyFont="1" applyFill="1" applyBorder="1" applyAlignment="1">
      <alignment horizontal="center"/>
    </xf>
    <xf numFmtId="20" fontId="4" fillId="2" borderId="16" xfId="0" applyNumberFormat="1" applyFont="1" applyFill="1" applyBorder="1" applyAlignment="1">
      <alignment horizontal="center"/>
    </xf>
    <xf numFmtId="20" fontId="4" fillId="2" borderId="11" xfId="0" applyNumberFormat="1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20" fontId="6" fillId="2" borderId="14" xfId="0" applyNumberFormat="1" applyFont="1" applyFill="1" applyBorder="1" applyAlignment="1">
      <alignment horizontal="center"/>
    </xf>
    <xf numFmtId="20" fontId="6" fillId="2" borderId="16" xfId="0" applyNumberFormat="1" applyFont="1" applyFill="1" applyBorder="1" applyAlignment="1">
      <alignment horizontal="center"/>
    </xf>
    <xf numFmtId="20" fontId="5" fillId="2" borderId="14" xfId="0" applyNumberFormat="1" applyFont="1" applyFill="1" applyBorder="1" applyAlignment="1">
      <alignment horizontal="center"/>
    </xf>
    <xf numFmtId="20" fontId="5" fillId="2" borderId="16" xfId="0" applyNumberFormat="1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20" fontId="5" fillId="2" borderId="7" xfId="0" applyNumberFormat="1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20" fontId="12" fillId="2" borderId="10" xfId="0" quotePrefix="1" applyNumberFormat="1" applyFont="1" applyFill="1" applyBorder="1" applyAlignment="1">
      <alignment horizontal="center"/>
    </xf>
    <xf numFmtId="20" fontId="9" fillId="2" borderId="10" xfId="0" quotePrefix="1" applyNumberFormat="1" applyFont="1" applyFill="1" applyBorder="1" applyAlignment="1">
      <alignment horizontal="center"/>
    </xf>
    <xf numFmtId="20" fontId="9" fillId="2" borderId="11" xfId="0" quotePrefix="1" applyNumberFormat="1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 wrapText="1"/>
    </xf>
    <xf numFmtId="0" fontId="13" fillId="2" borderId="10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20" fontId="5" fillId="2" borderId="11" xfId="0" applyNumberFormat="1" applyFont="1" applyFill="1" applyBorder="1" applyAlignment="1">
      <alignment horizontal="center"/>
    </xf>
    <xf numFmtId="20" fontId="13" fillId="2" borderId="10" xfId="0" quotePrefix="1" applyNumberFormat="1" applyFont="1" applyFill="1" applyBorder="1" applyAlignment="1">
      <alignment horizontal="center"/>
    </xf>
    <xf numFmtId="0" fontId="1" fillId="2" borderId="14" xfId="0" applyFont="1" applyFill="1" applyBorder="1" applyAlignment="1">
      <alignment horizontal="left"/>
    </xf>
    <xf numFmtId="165" fontId="8" fillId="2" borderId="14" xfId="0" applyNumberFormat="1" applyFont="1" applyFill="1" applyBorder="1" applyAlignment="1">
      <alignment horizontal="center" wrapText="1"/>
    </xf>
    <xf numFmtId="46" fontId="14" fillId="2" borderId="14" xfId="0" applyNumberFormat="1" applyFont="1" applyFill="1" applyBorder="1"/>
    <xf numFmtId="0" fontId="3" fillId="2" borderId="21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5" fillId="2" borderId="4" xfId="0" applyFont="1" applyFill="1" applyBorder="1"/>
    <xf numFmtId="0" fontId="3" fillId="2" borderId="13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49" fontId="2" fillId="3" borderId="23" xfId="0" applyNumberFormat="1" applyFont="1" applyFill="1" applyBorder="1" applyAlignment="1">
      <alignment horizontal="center"/>
    </xf>
    <xf numFmtId="49" fontId="2" fillId="3" borderId="15" xfId="0" applyNumberFormat="1" applyFont="1" applyFill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8" fillId="2" borderId="14" xfId="0" applyFont="1" applyFill="1" applyBorder="1" applyAlignment="1">
      <alignment horizontal="center"/>
    </xf>
    <xf numFmtId="0" fontId="8" fillId="0" borderId="14" xfId="0" applyFont="1" applyBorder="1" applyAlignment="1">
      <alignment horizontal="left"/>
    </xf>
    <xf numFmtId="20" fontId="6" fillId="2" borderId="6" xfId="0" applyNumberFormat="1" applyFont="1" applyFill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5" fillId="0" borderId="0" xfId="0" applyFont="1"/>
    <xf numFmtId="0" fontId="15" fillId="0" borderId="0" xfId="0" applyFont="1" applyBorder="1"/>
    <xf numFmtId="0" fontId="16" fillId="0" borderId="0" xfId="0" applyFont="1" applyBorder="1" applyAlignment="1">
      <alignment horizontal="center"/>
    </xf>
    <xf numFmtId="0" fontId="15" fillId="0" borderId="10" xfId="0" applyFont="1" applyBorder="1"/>
    <xf numFmtId="0" fontId="8" fillId="0" borderId="0" xfId="0" applyFont="1" applyAlignment="1">
      <alignment horizontal="left"/>
    </xf>
    <xf numFmtId="20" fontId="8" fillId="2" borderId="6" xfId="0" applyNumberFormat="1" applyFont="1" applyFill="1" applyBorder="1" applyAlignment="1">
      <alignment horizontal="center"/>
    </xf>
    <xf numFmtId="20" fontId="8" fillId="2" borderId="12" xfId="0" applyNumberFormat="1" applyFont="1" applyFill="1" applyBorder="1" applyAlignment="1">
      <alignment horizontal="center"/>
    </xf>
    <xf numFmtId="0" fontId="1" fillId="2" borderId="9" xfId="0" applyFont="1" applyFill="1" applyBorder="1" applyAlignment="1"/>
    <xf numFmtId="20" fontId="5" fillId="2" borderId="10" xfId="0" quotePrefix="1" applyNumberFormat="1" applyFont="1" applyFill="1" applyBorder="1" applyAlignment="1"/>
    <xf numFmtId="0" fontId="5" fillId="2" borderId="10" xfId="0" applyFont="1" applyFill="1" applyBorder="1" applyAlignment="1"/>
    <xf numFmtId="0" fontId="1" fillId="0" borderId="10" xfId="0" applyFont="1" applyBorder="1" applyAlignment="1"/>
    <xf numFmtId="20" fontId="5" fillId="2" borderId="11" xfId="0" quotePrefix="1" applyNumberFormat="1" applyFont="1" applyFill="1" applyBorder="1" applyAlignment="1"/>
    <xf numFmtId="0" fontId="1" fillId="0" borderId="0" xfId="0" applyFont="1" applyAlignment="1"/>
    <xf numFmtId="0" fontId="1" fillId="2" borderId="9" xfId="0" applyFont="1" applyFill="1" applyBorder="1" applyAlignment="1">
      <alignment horizontal="left"/>
    </xf>
    <xf numFmtId="20" fontId="5" fillId="2" borderId="10" xfId="0" quotePrefix="1" applyNumberFormat="1" applyFont="1" applyFill="1" applyBorder="1" applyAlignment="1">
      <alignment horizontal="left"/>
    </xf>
    <xf numFmtId="20" fontId="5" fillId="2" borderId="11" xfId="0" quotePrefix="1" applyNumberFormat="1" applyFont="1" applyFill="1" applyBorder="1" applyAlignment="1">
      <alignment horizontal="left"/>
    </xf>
    <xf numFmtId="20" fontId="5" fillId="2" borderId="10" xfId="0" applyNumberFormat="1" applyFont="1" applyFill="1" applyBorder="1" applyAlignment="1">
      <alignment horizontal="left"/>
    </xf>
    <xf numFmtId="20" fontId="5" fillId="2" borderId="10" xfId="0" applyNumberFormat="1" applyFont="1" applyFill="1" applyBorder="1" applyAlignment="1"/>
    <xf numFmtId="20" fontId="11" fillId="2" borderId="10" xfId="0" quotePrefix="1" applyNumberFormat="1" applyFont="1" applyFill="1" applyBorder="1" applyAlignment="1"/>
    <xf numFmtId="20" fontId="17" fillId="2" borderId="10" xfId="0" quotePrefix="1" applyNumberFormat="1" applyFont="1" applyFill="1" applyBorder="1" applyAlignment="1"/>
    <xf numFmtId="0" fontId="1" fillId="2" borderId="19" xfId="0" applyFont="1" applyFill="1" applyBorder="1" applyAlignment="1"/>
    <xf numFmtId="0" fontId="1" fillId="2" borderId="19" xfId="0" applyFont="1" applyFill="1" applyBorder="1" applyAlignment="1">
      <alignment horizontal="left"/>
    </xf>
    <xf numFmtId="0" fontId="1" fillId="0" borderId="11" xfId="0" applyFont="1" applyBorder="1" applyAlignment="1"/>
    <xf numFmtId="20" fontId="18" fillId="2" borderId="10" xfId="0" quotePrefix="1" applyNumberFormat="1" applyFont="1" applyFill="1" applyBorder="1" applyAlignment="1">
      <alignment horizontal="left"/>
    </xf>
    <xf numFmtId="20" fontId="11" fillId="2" borderId="10" xfId="0" quotePrefix="1" applyNumberFormat="1" applyFont="1" applyFill="1" applyBorder="1" applyAlignment="1">
      <alignment horizontal="left"/>
    </xf>
    <xf numFmtId="20" fontId="11" fillId="2" borderId="11" xfId="0" quotePrefix="1" applyNumberFormat="1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8"/>
  <sheetViews>
    <sheetView zoomScaleNormal="100" workbookViewId="0">
      <pane ySplit="3" topLeftCell="A9" activePane="bottomLeft" state="frozen"/>
      <selection activeCell="D1" sqref="D1"/>
      <selection pane="bottomLeft" activeCell="G39" sqref="G39"/>
    </sheetView>
  </sheetViews>
  <sheetFormatPr defaultRowHeight="15" x14ac:dyDescent="0.25"/>
  <cols>
    <col min="1" max="1" width="32.42578125" style="90" customWidth="1"/>
    <col min="2" max="14" width="9.140625" style="90"/>
    <col min="15" max="15" width="10.42578125" style="90" customWidth="1"/>
    <col min="16" max="18" width="9.140625" style="90"/>
    <col min="19" max="19" width="11.140625" style="90" customWidth="1"/>
    <col min="20" max="16384" width="9.140625" style="90"/>
  </cols>
  <sheetData>
    <row r="1" spans="1:20" s="1" customFormat="1" ht="16.5" thickBot="1" x14ac:dyDescent="0.3">
      <c r="A1" s="2"/>
      <c r="B1" s="81">
        <v>45992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1"/>
    </row>
    <row r="2" spans="1:20" s="1" customFormat="1" ht="15.75" x14ac:dyDescent="0.25">
      <c r="A2" s="32" t="s">
        <v>0</v>
      </c>
      <c r="B2" s="34">
        <v>13</v>
      </c>
      <c r="C2" s="34">
        <v>14</v>
      </c>
      <c r="D2" s="34">
        <v>15</v>
      </c>
      <c r="E2" s="34">
        <v>16</v>
      </c>
      <c r="F2" s="34">
        <v>17</v>
      </c>
      <c r="G2" s="34">
        <v>18</v>
      </c>
      <c r="H2" s="34">
        <v>19</v>
      </c>
      <c r="I2" s="34">
        <v>20</v>
      </c>
      <c r="J2" s="34">
        <v>21</v>
      </c>
      <c r="K2" s="34">
        <v>22</v>
      </c>
      <c r="L2" s="34">
        <v>23</v>
      </c>
      <c r="M2" s="34">
        <v>24</v>
      </c>
      <c r="N2" s="34">
        <v>25</v>
      </c>
      <c r="O2" s="34">
        <v>26</v>
      </c>
      <c r="P2" s="34">
        <v>27</v>
      </c>
      <c r="Q2" s="34">
        <v>28</v>
      </c>
      <c r="R2" s="34">
        <v>29</v>
      </c>
      <c r="S2" s="34">
        <v>30</v>
      </c>
      <c r="T2" s="35">
        <v>31</v>
      </c>
    </row>
    <row r="3" spans="1:20" s="1" customFormat="1" ht="16.5" thickBot="1" x14ac:dyDescent="0.3">
      <c r="A3" s="79"/>
      <c r="B3" s="54" t="s">
        <v>6</v>
      </c>
      <c r="C3" s="54" t="s">
        <v>7</v>
      </c>
      <c r="D3" s="54" t="s">
        <v>1</v>
      </c>
      <c r="E3" s="54" t="s">
        <v>2</v>
      </c>
      <c r="F3" s="54" t="s">
        <v>3</v>
      </c>
      <c r="G3" s="54" t="s">
        <v>4</v>
      </c>
      <c r="H3" s="54" t="s">
        <v>5</v>
      </c>
      <c r="I3" s="54" t="s">
        <v>6</v>
      </c>
      <c r="J3" s="54" t="s">
        <v>7</v>
      </c>
      <c r="K3" s="54" t="s">
        <v>1</v>
      </c>
      <c r="L3" s="54" t="s">
        <v>2</v>
      </c>
      <c r="M3" s="54" t="s">
        <v>3</v>
      </c>
      <c r="N3" s="54" t="s">
        <v>4</v>
      </c>
      <c r="O3" s="54" t="s">
        <v>5</v>
      </c>
      <c r="P3" s="54" t="s">
        <v>6</v>
      </c>
      <c r="Q3" s="54" t="s">
        <v>7</v>
      </c>
      <c r="R3" s="54" t="s">
        <v>1</v>
      </c>
      <c r="S3" s="54" t="s">
        <v>2</v>
      </c>
      <c r="T3" s="80" t="s">
        <v>3</v>
      </c>
    </row>
    <row r="4" spans="1:20" s="4" customFormat="1" ht="15.75" x14ac:dyDescent="0.25">
      <c r="A4" s="75" t="s">
        <v>8</v>
      </c>
      <c r="B4" s="77" t="s">
        <v>9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</row>
    <row r="5" spans="1:20" s="4" customFormat="1" ht="15.75" x14ac:dyDescent="0.25">
      <c r="A5" s="39" t="s">
        <v>10</v>
      </c>
      <c r="B5" s="40">
        <v>2.5694444444444447E-2</v>
      </c>
      <c r="C5" s="38"/>
      <c r="D5" s="38"/>
      <c r="E5" s="41"/>
      <c r="F5" s="41"/>
      <c r="G5" s="42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</row>
    <row r="6" spans="1:20" s="4" customFormat="1" ht="15.75" x14ac:dyDescent="0.25">
      <c r="A6" s="43" t="s">
        <v>11</v>
      </c>
      <c r="B6" s="25"/>
      <c r="C6" s="38"/>
      <c r="D6" s="38"/>
      <c r="E6" s="41"/>
      <c r="F6" s="41"/>
      <c r="G6" s="42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</row>
    <row r="7" spans="1:20" s="4" customFormat="1" ht="15.75" x14ac:dyDescent="0.25">
      <c r="A7" s="39" t="s">
        <v>12</v>
      </c>
      <c r="B7" s="26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</row>
    <row r="8" spans="1:20" s="4" customFormat="1" ht="16.5" thickBot="1" x14ac:dyDescent="0.3">
      <c r="A8" s="44" t="s">
        <v>13</v>
      </c>
      <c r="B8" s="45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</row>
    <row r="9" spans="1:20" s="4" customFormat="1" ht="15.75" x14ac:dyDescent="0.25">
      <c r="A9" s="37" t="s">
        <v>8</v>
      </c>
      <c r="B9" s="5"/>
      <c r="C9" s="11">
        <v>117</v>
      </c>
      <c r="D9" s="47"/>
      <c r="E9" s="11">
        <v>117</v>
      </c>
      <c r="F9" s="47"/>
      <c r="G9" s="11">
        <v>117</v>
      </c>
      <c r="H9" s="47"/>
      <c r="I9" s="11">
        <v>117</v>
      </c>
      <c r="J9" s="47"/>
      <c r="K9" s="11">
        <v>117</v>
      </c>
      <c r="L9" s="47"/>
      <c r="M9" s="11">
        <v>117</v>
      </c>
      <c r="N9" s="47"/>
      <c r="O9" s="11">
        <v>117</v>
      </c>
      <c r="P9" s="47"/>
      <c r="Q9" s="11">
        <v>117</v>
      </c>
      <c r="R9" s="47"/>
      <c r="S9" s="11">
        <v>117</v>
      </c>
      <c r="T9" s="12"/>
    </row>
    <row r="10" spans="1:20" s="4" customFormat="1" ht="15.75" x14ac:dyDescent="0.25">
      <c r="A10" s="39" t="s">
        <v>10</v>
      </c>
      <c r="B10" s="8"/>
      <c r="C10" s="13">
        <v>0.21805555555555556</v>
      </c>
      <c r="D10" s="48"/>
      <c r="E10" s="13">
        <v>0.21805555555555556</v>
      </c>
      <c r="F10" s="48"/>
      <c r="G10" s="13">
        <v>0.21805555555555556</v>
      </c>
      <c r="H10" s="48"/>
      <c r="I10" s="13">
        <v>0.21805555555555556</v>
      </c>
      <c r="J10" s="48"/>
      <c r="K10" s="13">
        <v>0.21805555555555556</v>
      </c>
      <c r="L10" s="48"/>
      <c r="M10" s="13">
        <v>0.21805555555555556</v>
      </c>
      <c r="N10" s="48"/>
      <c r="O10" s="13">
        <v>0.21805555555555556</v>
      </c>
      <c r="P10" s="48"/>
      <c r="Q10" s="13">
        <v>0.21805555555555556</v>
      </c>
      <c r="R10" s="48"/>
      <c r="S10" s="13">
        <v>0.21805555555555556</v>
      </c>
      <c r="T10" s="49"/>
    </row>
    <row r="11" spans="1:20" s="4" customFormat="1" ht="15.75" x14ac:dyDescent="0.25">
      <c r="A11" s="43" t="s">
        <v>11</v>
      </c>
      <c r="B11" s="9"/>
      <c r="C11" s="14">
        <v>118</v>
      </c>
      <c r="D11" s="9"/>
      <c r="E11" s="14">
        <v>118</v>
      </c>
      <c r="F11" s="9"/>
      <c r="G11" s="14">
        <v>118</v>
      </c>
      <c r="H11" s="9"/>
      <c r="I11" s="14">
        <v>118</v>
      </c>
      <c r="J11" s="9"/>
      <c r="K11" s="14">
        <v>118</v>
      </c>
      <c r="L11" s="9"/>
      <c r="M11" s="14">
        <v>118</v>
      </c>
      <c r="N11" s="9"/>
      <c r="O11" s="14">
        <v>118</v>
      </c>
      <c r="P11" s="9"/>
      <c r="Q11" s="14">
        <v>118</v>
      </c>
      <c r="R11" s="9"/>
      <c r="S11" s="14">
        <v>118</v>
      </c>
      <c r="T11" s="15"/>
    </row>
    <row r="12" spans="1:20" s="4" customFormat="1" ht="15.75" x14ac:dyDescent="0.25">
      <c r="A12" s="39" t="s">
        <v>12</v>
      </c>
      <c r="B12" s="9"/>
      <c r="C12" s="13">
        <v>0.96875</v>
      </c>
      <c r="D12" s="9"/>
      <c r="E12" s="13">
        <v>0.96875</v>
      </c>
      <c r="F12" s="9"/>
      <c r="G12" s="13">
        <v>0.96875</v>
      </c>
      <c r="H12" s="9"/>
      <c r="I12" s="13">
        <v>0.96875</v>
      </c>
      <c r="J12" s="9"/>
      <c r="K12" s="13">
        <v>0.96875</v>
      </c>
      <c r="L12" s="9"/>
      <c r="M12" s="13">
        <v>0.96875</v>
      </c>
      <c r="N12" s="9"/>
      <c r="O12" s="13">
        <v>0.96875</v>
      </c>
      <c r="P12" s="9"/>
      <c r="Q12" s="13">
        <v>0.96875</v>
      </c>
      <c r="R12" s="9"/>
      <c r="S12" s="13">
        <v>0.96875</v>
      </c>
      <c r="T12" s="49"/>
    </row>
    <row r="13" spans="1:20" s="4" customFormat="1" ht="16.5" thickBot="1" x14ac:dyDescent="0.3">
      <c r="A13" s="50" t="s">
        <v>13</v>
      </c>
      <c r="B13" s="51"/>
      <c r="C13" s="55">
        <f>E12-E10</f>
        <v>0.75069444444444444</v>
      </c>
      <c r="D13" s="85"/>
      <c r="E13" s="55">
        <f>E12-E10</f>
        <v>0.75069444444444444</v>
      </c>
      <c r="F13" s="85"/>
      <c r="G13" s="55">
        <f>G12-G10</f>
        <v>0.75069444444444444</v>
      </c>
      <c r="H13" s="85"/>
      <c r="I13" s="55">
        <f>I12-I10</f>
        <v>0.75069444444444444</v>
      </c>
      <c r="J13" s="85"/>
      <c r="K13" s="55">
        <f>K12-K10</f>
        <v>0.75069444444444444</v>
      </c>
      <c r="L13" s="85"/>
      <c r="M13" s="55">
        <f>M12-M10</f>
        <v>0.75069444444444444</v>
      </c>
      <c r="N13" s="85"/>
      <c r="O13" s="55">
        <f>O12-O10</f>
        <v>0.75069444444444444</v>
      </c>
      <c r="P13" s="85"/>
      <c r="Q13" s="55">
        <f>Q12-Q10</f>
        <v>0.75069444444444444</v>
      </c>
      <c r="R13" s="85"/>
      <c r="S13" s="55">
        <f>S12-S10</f>
        <v>0.75069444444444444</v>
      </c>
      <c r="T13" s="52"/>
    </row>
    <row r="14" spans="1:20" s="4" customFormat="1" ht="15.75" x14ac:dyDescent="0.25">
      <c r="A14" s="19" t="s">
        <v>8</v>
      </c>
      <c r="B14" s="11"/>
      <c r="C14" s="11">
        <v>3</v>
      </c>
      <c r="D14" s="11">
        <v>3</v>
      </c>
      <c r="E14" s="11">
        <v>3</v>
      </c>
      <c r="F14" s="11">
        <v>3</v>
      </c>
      <c r="G14" s="11">
        <v>3</v>
      </c>
      <c r="H14" s="11">
        <v>3</v>
      </c>
      <c r="I14" s="11">
        <v>3</v>
      </c>
      <c r="J14" s="11">
        <v>3</v>
      </c>
      <c r="K14" s="11">
        <v>3</v>
      </c>
      <c r="L14" s="11">
        <v>3</v>
      </c>
      <c r="M14" s="11">
        <v>3</v>
      </c>
      <c r="N14" s="11">
        <v>3</v>
      </c>
      <c r="O14" s="11">
        <v>3</v>
      </c>
      <c r="P14" s="11">
        <v>3</v>
      </c>
      <c r="Q14" s="11">
        <v>3</v>
      </c>
      <c r="R14" s="11">
        <v>3</v>
      </c>
      <c r="S14" s="11">
        <v>3</v>
      </c>
      <c r="T14" s="12">
        <v>3</v>
      </c>
    </row>
    <row r="15" spans="1:20" s="4" customFormat="1" ht="15.75" x14ac:dyDescent="0.25">
      <c r="A15" s="20" t="s">
        <v>10</v>
      </c>
      <c r="B15" s="14"/>
      <c r="C15" s="24">
        <v>0.24305555555555555</v>
      </c>
      <c r="D15" s="24">
        <v>0.24305555555555555</v>
      </c>
      <c r="E15" s="24">
        <v>0.24305555555555555</v>
      </c>
      <c r="F15" s="24">
        <v>0.24305555555555555</v>
      </c>
      <c r="G15" s="24">
        <v>0.24305555555555555</v>
      </c>
      <c r="H15" s="24">
        <v>0.24305555555555555</v>
      </c>
      <c r="I15" s="24">
        <v>0.24305555555555555</v>
      </c>
      <c r="J15" s="24">
        <v>0.24305555555555555</v>
      </c>
      <c r="K15" s="24">
        <v>0.24305555555555555</v>
      </c>
      <c r="L15" s="24">
        <v>0.24305555555555555</v>
      </c>
      <c r="M15" s="24">
        <v>0.24305555555555555</v>
      </c>
      <c r="N15" s="24">
        <v>0.24305555555555555</v>
      </c>
      <c r="O15" s="24">
        <v>0.24305555555555555</v>
      </c>
      <c r="P15" s="24">
        <v>0.24305555555555555</v>
      </c>
      <c r="Q15" s="24">
        <v>0.24305555555555555</v>
      </c>
      <c r="R15" s="24">
        <v>0.24305555555555555</v>
      </c>
      <c r="S15" s="24">
        <v>0.24305555555555555</v>
      </c>
      <c r="T15" s="53">
        <v>0.24305555555555555</v>
      </c>
    </row>
    <row r="16" spans="1:20" s="4" customFormat="1" ht="15.75" x14ac:dyDescent="0.25">
      <c r="A16" s="21" t="s">
        <v>11</v>
      </c>
      <c r="B16" s="14"/>
      <c r="C16" s="14">
        <v>4</v>
      </c>
      <c r="D16" s="14">
        <v>4</v>
      </c>
      <c r="E16" s="14">
        <v>4</v>
      </c>
      <c r="F16" s="14">
        <v>4</v>
      </c>
      <c r="G16" s="68">
        <v>66</v>
      </c>
      <c r="H16" s="14">
        <v>4</v>
      </c>
      <c r="I16" s="68">
        <v>66</v>
      </c>
      <c r="J16" s="14">
        <v>4</v>
      </c>
      <c r="K16" s="68">
        <v>66</v>
      </c>
      <c r="L16" s="14">
        <v>4</v>
      </c>
      <c r="M16" s="68">
        <v>66</v>
      </c>
      <c r="N16" s="14">
        <v>4</v>
      </c>
      <c r="O16" s="68">
        <v>66</v>
      </c>
      <c r="P16" s="14">
        <v>4</v>
      </c>
      <c r="Q16" s="68">
        <v>66</v>
      </c>
      <c r="R16" s="14">
        <v>4</v>
      </c>
      <c r="S16" s="68">
        <v>66</v>
      </c>
      <c r="T16" s="15">
        <v>4</v>
      </c>
    </row>
    <row r="17" spans="1:24" s="4" customFormat="1" ht="15.75" x14ac:dyDescent="0.25">
      <c r="A17" s="20" t="s">
        <v>12</v>
      </c>
      <c r="B17" s="14"/>
      <c r="C17" s="24">
        <v>0.48958333333333331</v>
      </c>
      <c r="D17" s="24">
        <v>0.48958333333333331</v>
      </c>
      <c r="E17" s="24">
        <v>0.48958333333333331</v>
      </c>
      <c r="F17" s="24">
        <v>0.48958333333333331</v>
      </c>
      <c r="G17" s="71">
        <v>0.90416666666666667</v>
      </c>
      <c r="H17" s="24">
        <v>0.48958333333333331</v>
      </c>
      <c r="I17" s="71">
        <v>0.90416666666666667</v>
      </c>
      <c r="J17" s="24">
        <v>0.48958333333333331</v>
      </c>
      <c r="K17" s="71">
        <v>0.90416666666666667</v>
      </c>
      <c r="L17" s="24">
        <v>0.48958333333333331</v>
      </c>
      <c r="M17" s="71">
        <v>0.90416666666666667</v>
      </c>
      <c r="N17" s="24">
        <v>0.48958333333333331</v>
      </c>
      <c r="O17" s="71">
        <v>0.90416666666666667</v>
      </c>
      <c r="P17" s="24">
        <v>0.48958333333333331</v>
      </c>
      <c r="Q17" s="71">
        <v>0.90416666666666667</v>
      </c>
      <c r="R17" s="24">
        <v>0.48958333333333331</v>
      </c>
      <c r="S17" s="71">
        <v>0.90416666666666667</v>
      </c>
      <c r="T17" s="53">
        <v>0.48958333333333331</v>
      </c>
    </row>
    <row r="18" spans="1:24" s="4" customFormat="1" ht="16.5" thickBot="1" x14ac:dyDescent="0.3">
      <c r="A18" s="23" t="s">
        <v>13</v>
      </c>
      <c r="B18" s="54"/>
      <c r="C18" s="55">
        <f>C17-C15</f>
        <v>0.24652777777777776</v>
      </c>
      <c r="D18" s="55">
        <f t="shared" ref="D18:S18" si="0">D17-D15</f>
        <v>0.24652777777777776</v>
      </c>
      <c r="E18" s="55">
        <f t="shared" si="0"/>
        <v>0.24652777777777776</v>
      </c>
      <c r="F18" s="55">
        <f t="shared" si="0"/>
        <v>0.24652777777777776</v>
      </c>
      <c r="G18" s="74">
        <v>1.39375</v>
      </c>
      <c r="H18" s="55">
        <f t="shared" si="0"/>
        <v>0.24652777777777776</v>
      </c>
      <c r="I18" s="55">
        <f t="shared" si="0"/>
        <v>0.66111111111111109</v>
      </c>
      <c r="J18" s="55">
        <f t="shared" si="0"/>
        <v>0.24652777777777776</v>
      </c>
      <c r="K18" s="55">
        <f t="shared" si="0"/>
        <v>0.66111111111111109</v>
      </c>
      <c r="L18" s="55">
        <f t="shared" si="0"/>
        <v>0.24652777777777776</v>
      </c>
      <c r="M18" s="55">
        <f t="shared" si="0"/>
        <v>0.66111111111111109</v>
      </c>
      <c r="N18" s="55">
        <f t="shared" si="0"/>
        <v>0.24652777777777776</v>
      </c>
      <c r="O18" s="55">
        <f t="shared" si="0"/>
        <v>0.66111111111111109</v>
      </c>
      <c r="P18" s="55">
        <f t="shared" si="0"/>
        <v>0.24652777777777776</v>
      </c>
      <c r="Q18" s="55">
        <f t="shared" si="0"/>
        <v>0.66111111111111109</v>
      </c>
      <c r="R18" s="55">
        <f t="shared" si="0"/>
        <v>0.24652777777777776</v>
      </c>
      <c r="S18" s="55">
        <f t="shared" si="0"/>
        <v>0.66111111111111109</v>
      </c>
      <c r="T18" s="56">
        <f t="shared" ref="T18" si="1">T17-T15</f>
        <v>0.24652777777777776</v>
      </c>
    </row>
    <row r="19" spans="1:24" s="4" customFormat="1" ht="15.75" x14ac:dyDescent="0.25">
      <c r="A19" s="37" t="s">
        <v>8</v>
      </c>
      <c r="B19" s="11">
        <v>107</v>
      </c>
      <c r="C19" s="11">
        <v>107</v>
      </c>
      <c r="D19" s="11">
        <v>107</v>
      </c>
      <c r="E19" s="11">
        <v>107</v>
      </c>
      <c r="F19" s="11">
        <v>107</v>
      </c>
      <c r="G19" s="11">
        <v>107</v>
      </c>
      <c r="H19" s="11">
        <v>107</v>
      </c>
      <c r="I19" s="11">
        <v>107</v>
      </c>
      <c r="J19" s="11">
        <v>107</v>
      </c>
      <c r="K19" s="11">
        <v>107</v>
      </c>
      <c r="L19" s="11">
        <v>107</v>
      </c>
      <c r="M19" s="11">
        <v>107</v>
      </c>
      <c r="N19" s="11">
        <v>107</v>
      </c>
      <c r="O19" s="11">
        <v>107</v>
      </c>
      <c r="P19" s="11">
        <v>107</v>
      </c>
      <c r="Q19" s="11">
        <v>107</v>
      </c>
      <c r="R19" s="11">
        <v>107</v>
      </c>
      <c r="S19" s="11">
        <v>107</v>
      </c>
      <c r="T19" s="12">
        <v>107</v>
      </c>
    </row>
    <row r="20" spans="1:24" s="4" customFormat="1" ht="15.75" x14ac:dyDescent="0.25">
      <c r="A20" s="39" t="s">
        <v>10</v>
      </c>
      <c r="B20" s="6">
        <v>0.45555555555555555</v>
      </c>
      <c r="C20" s="6">
        <v>0.45555555555555555</v>
      </c>
      <c r="D20" s="6">
        <v>0.45555555555555555</v>
      </c>
      <c r="E20" s="6">
        <v>0.45555555555555555</v>
      </c>
      <c r="F20" s="6">
        <v>0.45555555555555555</v>
      </c>
      <c r="G20" s="6">
        <v>0.45555555555555555</v>
      </c>
      <c r="H20" s="6">
        <v>0.45555555555555555</v>
      </c>
      <c r="I20" s="6">
        <v>0.45555555555555555</v>
      </c>
      <c r="J20" s="6">
        <v>0.45555555555555555</v>
      </c>
      <c r="K20" s="6">
        <v>0.45555555555555555</v>
      </c>
      <c r="L20" s="6">
        <v>0.45555555555555555</v>
      </c>
      <c r="M20" s="6">
        <v>0.45555555555555555</v>
      </c>
      <c r="N20" s="6">
        <v>0.45555555555555555</v>
      </c>
      <c r="O20" s="6">
        <v>0.45555555555555555</v>
      </c>
      <c r="P20" s="6">
        <v>0.45555555555555555</v>
      </c>
      <c r="Q20" s="6">
        <v>0.45555555555555555</v>
      </c>
      <c r="R20" s="6">
        <v>0.45555555555555555</v>
      </c>
      <c r="S20" s="6">
        <v>0.45555555555555555</v>
      </c>
      <c r="T20" s="16">
        <v>0.45555555555555555</v>
      </c>
    </row>
    <row r="21" spans="1:24" s="4" customFormat="1" ht="15.75" x14ac:dyDescent="0.25">
      <c r="A21" s="43" t="s">
        <v>11</v>
      </c>
      <c r="B21" s="14">
        <v>108</v>
      </c>
      <c r="C21" s="14">
        <v>108</v>
      </c>
      <c r="D21" s="14">
        <v>108</v>
      </c>
      <c r="E21" s="14">
        <v>108</v>
      </c>
      <c r="F21" s="14">
        <v>108</v>
      </c>
      <c r="G21" s="14">
        <v>108</v>
      </c>
      <c r="H21" s="14">
        <v>108</v>
      </c>
      <c r="I21" s="14">
        <v>108</v>
      </c>
      <c r="J21" s="14">
        <v>108</v>
      </c>
      <c r="K21" s="14">
        <v>108</v>
      </c>
      <c r="L21" s="14">
        <v>108</v>
      </c>
      <c r="M21" s="14">
        <v>108</v>
      </c>
      <c r="N21" s="14">
        <v>108</v>
      </c>
      <c r="O21" s="14">
        <v>108</v>
      </c>
      <c r="P21" s="14">
        <v>108</v>
      </c>
      <c r="Q21" s="14">
        <v>108</v>
      </c>
      <c r="R21" s="14">
        <v>108</v>
      </c>
      <c r="S21" s="14">
        <v>108</v>
      </c>
      <c r="T21" s="15">
        <v>108</v>
      </c>
    </row>
    <row r="22" spans="1:24" s="4" customFormat="1" ht="15.75" x14ac:dyDescent="0.25">
      <c r="A22" s="39" t="s">
        <v>12</v>
      </c>
      <c r="B22" s="6">
        <v>0.63194444444444442</v>
      </c>
      <c r="C22" s="6">
        <v>0.63194444444444442</v>
      </c>
      <c r="D22" s="6">
        <v>0.63194444444444442</v>
      </c>
      <c r="E22" s="6">
        <v>0.63194444444444442</v>
      </c>
      <c r="F22" s="6">
        <v>0.63194444444444442</v>
      </c>
      <c r="G22" s="6">
        <v>0.63194444444444442</v>
      </c>
      <c r="H22" s="6">
        <v>0.63194444444444442</v>
      </c>
      <c r="I22" s="6">
        <v>0.63194444444444442</v>
      </c>
      <c r="J22" s="6">
        <v>0.63194444444444442</v>
      </c>
      <c r="K22" s="6">
        <v>0.63194444444444442</v>
      </c>
      <c r="L22" s="6">
        <v>0.63194444444444442</v>
      </c>
      <c r="M22" s="6">
        <v>0.63194444444444442</v>
      </c>
      <c r="N22" s="6">
        <v>0.63194444444444442</v>
      </c>
      <c r="O22" s="6">
        <v>0.63194444444444442</v>
      </c>
      <c r="P22" s="6">
        <v>0.63194444444444442</v>
      </c>
      <c r="Q22" s="6">
        <v>0.63194444444444442</v>
      </c>
      <c r="R22" s="6">
        <v>0.63194444444444442</v>
      </c>
      <c r="S22" s="6">
        <v>0.63194444444444442</v>
      </c>
      <c r="T22" s="16">
        <v>0.63194444444444442</v>
      </c>
    </row>
    <row r="23" spans="1:24" s="4" customFormat="1" ht="16.5" thickBot="1" x14ac:dyDescent="0.3">
      <c r="A23" s="50" t="s">
        <v>13</v>
      </c>
      <c r="B23" s="57">
        <f t="shared" ref="B23:T23" si="2">B22-B20</f>
        <v>0.17638888888888887</v>
      </c>
      <c r="C23" s="57">
        <f t="shared" si="2"/>
        <v>0.17638888888888887</v>
      </c>
      <c r="D23" s="57">
        <f t="shared" si="2"/>
        <v>0.17638888888888887</v>
      </c>
      <c r="E23" s="57">
        <f t="shared" si="2"/>
        <v>0.17638888888888887</v>
      </c>
      <c r="F23" s="57">
        <f t="shared" si="2"/>
        <v>0.17638888888888887</v>
      </c>
      <c r="G23" s="57">
        <f t="shared" si="2"/>
        <v>0.17638888888888887</v>
      </c>
      <c r="H23" s="57">
        <f t="shared" si="2"/>
        <v>0.17638888888888887</v>
      </c>
      <c r="I23" s="57">
        <f t="shared" si="2"/>
        <v>0.17638888888888887</v>
      </c>
      <c r="J23" s="57">
        <f t="shared" si="2"/>
        <v>0.17638888888888887</v>
      </c>
      <c r="K23" s="57">
        <f t="shared" si="2"/>
        <v>0.17638888888888887</v>
      </c>
      <c r="L23" s="57">
        <f t="shared" si="2"/>
        <v>0.17638888888888887</v>
      </c>
      <c r="M23" s="57">
        <f t="shared" si="2"/>
        <v>0.17638888888888887</v>
      </c>
      <c r="N23" s="57">
        <f t="shared" si="2"/>
        <v>0.17638888888888887</v>
      </c>
      <c r="O23" s="57">
        <f t="shared" si="2"/>
        <v>0.17638888888888887</v>
      </c>
      <c r="P23" s="57">
        <f t="shared" si="2"/>
        <v>0.17638888888888887</v>
      </c>
      <c r="Q23" s="57">
        <f t="shared" si="2"/>
        <v>0.17638888888888887</v>
      </c>
      <c r="R23" s="57">
        <f t="shared" si="2"/>
        <v>0.17638888888888887</v>
      </c>
      <c r="S23" s="57">
        <f t="shared" si="2"/>
        <v>0.17638888888888887</v>
      </c>
      <c r="T23" s="58">
        <f t="shared" si="2"/>
        <v>0.17638888888888887</v>
      </c>
    </row>
    <row r="24" spans="1:24" s="4" customFormat="1" ht="15.75" x14ac:dyDescent="0.25">
      <c r="A24" s="37" t="s">
        <v>8</v>
      </c>
      <c r="B24" s="59">
        <v>65</v>
      </c>
      <c r="C24" s="5"/>
      <c r="D24" s="60"/>
      <c r="E24" s="11" t="s">
        <v>26</v>
      </c>
      <c r="F24" s="61">
        <v>65</v>
      </c>
      <c r="G24" s="60"/>
      <c r="H24" s="62">
        <v>65</v>
      </c>
      <c r="I24" s="60"/>
      <c r="J24" s="61">
        <v>65</v>
      </c>
      <c r="K24" s="60"/>
      <c r="L24" s="61">
        <v>65</v>
      </c>
      <c r="M24" s="60"/>
      <c r="N24" s="62">
        <v>65</v>
      </c>
      <c r="O24" s="60"/>
      <c r="P24" s="61">
        <v>65</v>
      </c>
      <c r="Q24" s="60"/>
      <c r="R24" s="61">
        <v>65</v>
      </c>
      <c r="S24" s="60"/>
      <c r="T24" s="63">
        <v>65</v>
      </c>
    </row>
    <row r="25" spans="1:24" s="4" customFormat="1" ht="15.75" x14ac:dyDescent="0.25">
      <c r="A25" s="39" t="s">
        <v>10</v>
      </c>
      <c r="B25" s="6">
        <v>0.96388888888888891</v>
      </c>
      <c r="C25" s="8"/>
      <c r="D25" s="7"/>
      <c r="E25" s="24" t="s">
        <v>25</v>
      </c>
      <c r="F25" s="64">
        <v>0.51041666666666663</v>
      </c>
      <c r="G25" s="7"/>
      <c r="H25" s="65">
        <v>0.51041666666666663</v>
      </c>
      <c r="I25" s="7"/>
      <c r="J25" s="64">
        <v>0.51041666666666663</v>
      </c>
      <c r="K25" s="7"/>
      <c r="L25" s="64">
        <v>0.51041666666666663</v>
      </c>
      <c r="M25" s="7"/>
      <c r="N25" s="65">
        <v>0.51041666666666663</v>
      </c>
      <c r="O25" s="7"/>
      <c r="P25" s="64">
        <v>0.51041666666666663</v>
      </c>
      <c r="Q25" s="7"/>
      <c r="R25" s="64">
        <v>0.51041666666666663</v>
      </c>
      <c r="S25" s="7"/>
      <c r="T25" s="66">
        <v>0.51041666666666663</v>
      </c>
    </row>
    <row r="26" spans="1:24" s="4" customFormat="1" ht="15.75" x14ac:dyDescent="0.25">
      <c r="A26" s="43" t="s">
        <v>11</v>
      </c>
      <c r="B26" s="67" t="s">
        <v>14</v>
      </c>
      <c r="C26" s="68">
        <v>66</v>
      </c>
      <c r="D26" s="7"/>
      <c r="E26" s="69">
        <v>66</v>
      </c>
      <c r="F26" s="7"/>
      <c r="G26" s="14">
        <v>4</v>
      </c>
      <c r="H26" s="7"/>
      <c r="I26" s="14">
        <v>4</v>
      </c>
      <c r="J26" s="7"/>
      <c r="K26" s="14">
        <v>4</v>
      </c>
      <c r="L26" s="7"/>
      <c r="M26" s="14">
        <v>4</v>
      </c>
      <c r="N26" s="7"/>
      <c r="O26" s="14">
        <v>4</v>
      </c>
      <c r="P26" s="7"/>
      <c r="Q26" s="14">
        <v>4</v>
      </c>
      <c r="R26" s="7"/>
      <c r="S26" s="14">
        <v>4</v>
      </c>
      <c r="T26" s="70" t="s">
        <v>18</v>
      </c>
    </row>
    <row r="27" spans="1:24" s="4" customFormat="1" ht="15.75" x14ac:dyDescent="0.25">
      <c r="A27" s="39" t="s">
        <v>12</v>
      </c>
      <c r="B27" s="14" t="s">
        <v>15</v>
      </c>
      <c r="C27" s="71">
        <v>0.90416666666666667</v>
      </c>
      <c r="D27" s="7"/>
      <c r="E27" s="65">
        <v>0.90416666666666667</v>
      </c>
      <c r="F27" s="7"/>
      <c r="G27" s="24">
        <v>0.48958333333333331</v>
      </c>
      <c r="H27" s="7"/>
      <c r="I27" s="24">
        <v>0.48958333333333331</v>
      </c>
      <c r="J27" s="7"/>
      <c r="K27" s="24">
        <v>0.48958333333333331</v>
      </c>
      <c r="L27" s="7"/>
      <c r="M27" s="24">
        <v>0.48958333333333331</v>
      </c>
      <c r="N27" s="7"/>
      <c r="O27" s="24">
        <v>0.48958333333333331</v>
      </c>
      <c r="P27" s="7"/>
      <c r="Q27" s="24">
        <v>0.48958333333333331</v>
      </c>
      <c r="R27" s="7"/>
      <c r="S27" s="24">
        <v>0.48958333333333331</v>
      </c>
      <c r="T27" s="70" t="s">
        <v>19</v>
      </c>
    </row>
    <row r="28" spans="1:24" s="4" customFormat="1" ht="16.5" thickBot="1" x14ac:dyDescent="0.3">
      <c r="A28" s="50" t="s">
        <v>13</v>
      </c>
      <c r="B28" s="72"/>
      <c r="C28" s="73">
        <v>0.94027777777777777</v>
      </c>
      <c r="D28" s="27"/>
      <c r="E28" s="27"/>
      <c r="F28" s="27"/>
      <c r="G28" s="55">
        <f>(G27-F25)+24</f>
        <v>23.979166666666668</v>
      </c>
      <c r="H28" s="27"/>
      <c r="I28" s="55">
        <f>(I27-H25)+24</f>
        <v>23.979166666666668</v>
      </c>
      <c r="J28" s="27"/>
      <c r="K28" s="55">
        <f>(K27-J25)+24</f>
        <v>23.979166666666668</v>
      </c>
      <c r="L28" s="27"/>
      <c r="M28" s="55">
        <f>(M27-L25)+24</f>
        <v>23.979166666666668</v>
      </c>
      <c r="N28" s="27"/>
      <c r="O28" s="55">
        <f>(O27-N25)+24</f>
        <v>23.979166666666668</v>
      </c>
      <c r="P28" s="27"/>
      <c r="Q28" s="55">
        <f>(Q27-P25)+24</f>
        <v>23.979166666666668</v>
      </c>
      <c r="R28" s="27"/>
      <c r="S28" s="55">
        <f>(S27-R25)+24</f>
        <v>23.979166666666668</v>
      </c>
      <c r="T28" s="28"/>
    </row>
    <row r="29" spans="1:24" s="4" customFormat="1" ht="15.75" x14ac:dyDescent="0.25">
      <c r="A29" s="75" t="s">
        <v>8</v>
      </c>
      <c r="B29" s="18">
        <v>121</v>
      </c>
      <c r="C29" s="18">
        <v>121</v>
      </c>
      <c r="D29" s="18">
        <v>121</v>
      </c>
      <c r="E29" s="18">
        <v>121</v>
      </c>
      <c r="F29" s="18">
        <v>121</v>
      </c>
      <c r="G29" s="18">
        <v>121</v>
      </c>
      <c r="H29" s="18">
        <v>121</v>
      </c>
      <c r="I29" s="18">
        <v>121</v>
      </c>
      <c r="J29" s="18">
        <v>121</v>
      </c>
      <c r="K29" s="18">
        <v>121</v>
      </c>
      <c r="L29" s="18">
        <v>121</v>
      </c>
      <c r="M29" s="18">
        <v>121</v>
      </c>
      <c r="N29" s="18">
        <v>121</v>
      </c>
      <c r="O29" s="18">
        <v>121</v>
      </c>
      <c r="P29" s="18">
        <v>121</v>
      </c>
      <c r="Q29" s="18">
        <v>121</v>
      </c>
      <c r="R29" s="18">
        <v>121</v>
      </c>
      <c r="S29" s="18">
        <v>121</v>
      </c>
      <c r="T29" s="18">
        <v>121</v>
      </c>
    </row>
    <row r="30" spans="1:24" s="4" customFormat="1" ht="15.75" x14ac:dyDescent="0.25">
      <c r="A30" s="39" t="s">
        <v>10</v>
      </c>
      <c r="B30" s="6">
        <v>0.98333333333333339</v>
      </c>
      <c r="C30" s="6">
        <v>0.92708333333333337</v>
      </c>
      <c r="D30" s="6">
        <v>0.92708333333333337</v>
      </c>
      <c r="E30" s="6">
        <v>0.92708333333333337</v>
      </c>
      <c r="F30" s="6">
        <v>0.92708333333333337</v>
      </c>
      <c r="G30" s="6">
        <v>0.92708333333333337</v>
      </c>
      <c r="H30" s="6">
        <v>0.92708333333333337</v>
      </c>
      <c r="I30" s="6">
        <v>0.92708333333333337</v>
      </c>
      <c r="J30" s="6">
        <v>0.92708333333333337</v>
      </c>
      <c r="K30" s="6">
        <v>0.92708333333333337</v>
      </c>
      <c r="L30" s="6">
        <v>0.92708333333333337</v>
      </c>
      <c r="M30" s="6">
        <v>0.92708333333333337</v>
      </c>
      <c r="N30" s="6">
        <v>0.92708333333333337</v>
      </c>
      <c r="O30" s="6">
        <v>0.92708333333333337</v>
      </c>
      <c r="P30" s="6">
        <v>0.92708333333333337</v>
      </c>
      <c r="Q30" s="6">
        <v>0.92708333333333337</v>
      </c>
      <c r="R30" s="6">
        <v>0.92708333333333337</v>
      </c>
      <c r="S30" s="6">
        <v>0.92708333333333337</v>
      </c>
      <c r="T30" s="6">
        <v>0.92708333333333337</v>
      </c>
    </row>
    <row r="31" spans="1:24" s="4" customFormat="1" ht="15.75" x14ac:dyDescent="0.25">
      <c r="A31" s="43" t="s">
        <v>11</v>
      </c>
      <c r="B31" s="76">
        <v>122</v>
      </c>
      <c r="C31" s="14">
        <v>122</v>
      </c>
      <c r="D31" s="14">
        <v>122</v>
      </c>
      <c r="E31" s="14">
        <v>122</v>
      </c>
      <c r="F31" s="14">
        <v>122</v>
      </c>
      <c r="G31" s="14">
        <v>122</v>
      </c>
      <c r="H31" s="14">
        <v>122</v>
      </c>
      <c r="I31" s="14">
        <v>122</v>
      </c>
      <c r="J31" s="14">
        <v>122</v>
      </c>
      <c r="K31" s="14">
        <v>122</v>
      </c>
      <c r="L31" s="14">
        <v>122</v>
      </c>
      <c r="M31" s="14">
        <v>122</v>
      </c>
      <c r="N31" s="14">
        <v>122</v>
      </c>
      <c r="O31" s="14">
        <v>122</v>
      </c>
      <c r="P31" s="14">
        <v>122</v>
      </c>
      <c r="Q31" s="14">
        <v>122</v>
      </c>
      <c r="R31" s="14">
        <v>122</v>
      </c>
      <c r="S31" s="14">
        <v>122</v>
      </c>
      <c r="T31" s="14">
        <v>122</v>
      </c>
    </row>
    <row r="32" spans="1:24" s="4" customFormat="1" ht="15.75" x14ac:dyDescent="0.25">
      <c r="A32" s="39" t="s">
        <v>12</v>
      </c>
      <c r="B32" s="6">
        <v>0.19722222222222222</v>
      </c>
      <c r="C32" s="6">
        <v>0.19791666666666666</v>
      </c>
      <c r="D32" s="6">
        <v>0.19791666666666666</v>
      </c>
      <c r="E32" s="6">
        <v>0.19791666666666666</v>
      </c>
      <c r="F32" s="6">
        <v>0.19791666666666666</v>
      </c>
      <c r="G32" s="6">
        <v>0.19791666666666666</v>
      </c>
      <c r="H32" s="6">
        <v>0.19791666666666666</v>
      </c>
      <c r="I32" s="6">
        <v>0.19791666666666666</v>
      </c>
      <c r="J32" s="6">
        <v>0.19791666666666666</v>
      </c>
      <c r="K32" s="6">
        <v>0.19791666666666666</v>
      </c>
      <c r="L32" s="6">
        <v>0.19791666666666666</v>
      </c>
      <c r="M32" s="6">
        <v>0.19791666666666666</v>
      </c>
      <c r="N32" s="6">
        <v>0.19791666666666666</v>
      </c>
      <c r="O32" s="6">
        <v>0.19791666666666666</v>
      </c>
      <c r="P32" s="6">
        <v>0.19791666666666666</v>
      </c>
      <c r="Q32" s="6">
        <v>0.19791666666666666</v>
      </c>
      <c r="R32" s="6">
        <v>0.19791666666666666</v>
      </c>
      <c r="S32" s="6">
        <v>0.19791666666666666</v>
      </c>
      <c r="T32" s="6">
        <v>0.19791666666666666</v>
      </c>
      <c r="X32" s="4" t="s">
        <v>16</v>
      </c>
    </row>
    <row r="33" spans="1:20" s="4" customFormat="1" ht="16.5" thickBot="1" x14ac:dyDescent="0.3">
      <c r="A33" s="50" t="s">
        <v>13</v>
      </c>
      <c r="B33" s="17">
        <f t="shared" ref="B33:T33" si="3">(B32-B30)+24</f>
        <v>23.213888888888889</v>
      </c>
      <c r="C33" s="7">
        <f t="shared" si="3"/>
        <v>23.270833333333332</v>
      </c>
      <c r="D33" s="7">
        <f t="shared" si="3"/>
        <v>23.270833333333332</v>
      </c>
      <c r="E33" s="7">
        <f t="shared" si="3"/>
        <v>23.270833333333332</v>
      </c>
      <c r="F33" s="7">
        <f t="shared" si="3"/>
        <v>23.270833333333332</v>
      </c>
      <c r="G33" s="7">
        <f t="shared" si="3"/>
        <v>23.270833333333332</v>
      </c>
      <c r="H33" s="7">
        <f t="shared" si="3"/>
        <v>23.270833333333332</v>
      </c>
      <c r="I33" s="7">
        <f t="shared" si="3"/>
        <v>23.270833333333332</v>
      </c>
      <c r="J33" s="7">
        <f t="shared" si="3"/>
        <v>23.270833333333332</v>
      </c>
      <c r="K33" s="7">
        <f t="shared" si="3"/>
        <v>23.270833333333332</v>
      </c>
      <c r="L33" s="7">
        <f t="shared" si="3"/>
        <v>23.270833333333332</v>
      </c>
      <c r="M33" s="7">
        <f t="shared" si="3"/>
        <v>23.270833333333332</v>
      </c>
      <c r="N33" s="7">
        <f t="shared" si="3"/>
        <v>23.270833333333332</v>
      </c>
      <c r="O33" s="7">
        <f t="shared" si="3"/>
        <v>23.270833333333332</v>
      </c>
      <c r="P33" s="7">
        <f t="shared" si="3"/>
        <v>23.270833333333332</v>
      </c>
      <c r="Q33" s="7">
        <f t="shared" si="3"/>
        <v>23.270833333333332</v>
      </c>
      <c r="R33" s="7">
        <f t="shared" si="3"/>
        <v>23.270833333333332</v>
      </c>
      <c r="S33" s="7">
        <f t="shared" si="3"/>
        <v>23.270833333333332</v>
      </c>
      <c r="T33" s="7">
        <f t="shared" si="3"/>
        <v>23.270833333333332</v>
      </c>
    </row>
    <row r="35" spans="1:20" x14ac:dyDescent="0.25">
      <c r="A35" s="91"/>
      <c r="B35" s="91"/>
      <c r="C35" s="91"/>
      <c r="D35" s="91"/>
      <c r="E35" s="91"/>
      <c r="F35" s="91"/>
    </row>
    <row r="36" spans="1:20" x14ac:dyDescent="0.25">
      <c r="A36" s="92" t="s">
        <v>23</v>
      </c>
      <c r="E36" s="91"/>
      <c r="F36" s="91"/>
    </row>
    <row r="37" spans="1:20" ht="15.75" x14ac:dyDescent="0.25">
      <c r="A37" s="68" t="s">
        <v>22</v>
      </c>
      <c r="B37" s="93" t="s">
        <v>20</v>
      </c>
      <c r="C37" s="93"/>
      <c r="E37" s="91"/>
      <c r="F37" s="91"/>
    </row>
    <row r="38" spans="1:20" ht="15.75" x14ac:dyDescent="0.25">
      <c r="A38" s="69" t="s">
        <v>22</v>
      </c>
      <c r="B38" s="93" t="s">
        <v>21</v>
      </c>
      <c r="C38" s="93"/>
      <c r="D38" s="91"/>
      <c r="E38" s="91"/>
      <c r="F38" s="91"/>
    </row>
  </sheetData>
  <mergeCells count="2">
    <mergeCell ref="B1:T1"/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2"/>
  <sheetViews>
    <sheetView tabSelected="1" workbookViewId="0">
      <selection activeCell="M36" sqref="M36"/>
    </sheetView>
  </sheetViews>
  <sheetFormatPr defaultRowHeight="15" x14ac:dyDescent="0.25"/>
  <cols>
    <col min="1" max="1" width="32.42578125" customWidth="1"/>
    <col min="15" max="15" width="10.42578125" customWidth="1"/>
    <col min="19" max="19" width="11.140625" customWidth="1"/>
  </cols>
  <sheetData>
    <row r="1" spans="1:32" s="1" customFormat="1" ht="16.5" thickBot="1" x14ac:dyDescent="0.3">
      <c r="A1" s="2"/>
      <c r="B1" s="82" t="s">
        <v>17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</row>
    <row r="2" spans="1:32" s="1" customFormat="1" ht="15.75" x14ac:dyDescent="0.25">
      <c r="A2" s="32" t="s">
        <v>0</v>
      </c>
      <c r="B2" s="34">
        <v>1</v>
      </c>
      <c r="C2" s="34">
        <v>2</v>
      </c>
      <c r="D2" s="34">
        <v>3</v>
      </c>
      <c r="E2" s="34">
        <v>4</v>
      </c>
      <c r="F2" s="34">
        <v>5</v>
      </c>
      <c r="G2" s="34">
        <v>6</v>
      </c>
      <c r="H2" s="34">
        <v>7</v>
      </c>
      <c r="I2" s="34">
        <v>8</v>
      </c>
      <c r="J2" s="34">
        <v>9</v>
      </c>
      <c r="K2" s="34">
        <v>10</v>
      </c>
      <c r="L2" s="34">
        <v>11</v>
      </c>
      <c r="M2" s="34">
        <v>12</v>
      </c>
      <c r="N2" s="34">
        <v>13</v>
      </c>
      <c r="O2" s="34">
        <v>14</v>
      </c>
      <c r="P2" s="34">
        <v>15</v>
      </c>
      <c r="Q2" s="34">
        <v>16</v>
      </c>
      <c r="R2" s="34">
        <v>17</v>
      </c>
      <c r="S2" s="34">
        <v>18</v>
      </c>
      <c r="T2" s="34">
        <v>19</v>
      </c>
      <c r="U2" s="34">
        <v>20</v>
      </c>
      <c r="V2" s="34">
        <v>21</v>
      </c>
      <c r="W2" s="34">
        <v>22</v>
      </c>
      <c r="X2" s="34">
        <v>23</v>
      </c>
      <c r="Y2" s="34">
        <v>24</v>
      </c>
      <c r="Z2" s="34">
        <v>25</v>
      </c>
      <c r="AA2" s="34">
        <v>26</v>
      </c>
      <c r="AB2" s="34">
        <v>27</v>
      </c>
      <c r="AC2" s="34">
        <v>28</v>
      </c>
      <c r="AD2" s="34">
        <v>29</v>
      </c>
      <c r="AE2" s="34">
        <v>30</v>
      </c>
      <c r="AF2" s="34">
        <v>31</v>
      </c>
    </row>
    <row r="3" spans="1:32" s="1" customFormat="1" ht="16.5" thickBot="1" x14ac:dyDescent="0.3">
      <c r="A3" s="33"/>
      <c r="B3" s="3" t="s">
        <v>4</v>
      </c>
      <c r="C3" s="3" t="s">
        <v>5</v>
      </c>
      <c r="D3" s="3" t="s">
        <v>6</v>
      </c>
      <c r="E3" s="3" t="s">
        <v>7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6</v>
      </c>
      <c r="L3" s="3" t="s">
        <v>7</v>
      </c>
      <c r="M3" s="3" t="s">
        <v>1</v>
      </c>
      <c r="N3" s="3" t="s">
        <v>2</v>
      </c>
      <c r="O3" s="36" t="s">
        <v>3</v>
      </c>
      <c r="P3" s="3" t="s">
        <v>4</v>
      </c>
      <c r="Q3" s="3" t="s">
        <v>5</v>
      </c>
      <c r="R3" s="3" t="s">
        <v>6</v>
      </c>
      <c r="S3" s="3" t="s">
        <v>7</v>
      </c>
      <c r="T3" s="3" t="s">
        <v>1</v>
      </c>
      <c r="U3" s="3" t="s">
        <v>2</v>
      </c>
      <c r="V3" s="3" t="s">
        <v>3</v>
      </c>
      <c r="W3" s="3" t="s">
        <v>4</v>
      </c>
      <c r="X3" s="3" t="s">
        <v>5</v>
      </c>
      <c r="Y3" s="3" t="s">
        <v>6</v>
      </c>
      <c r="Z3" s="3" t="s">
        <v>7</v>
      </c>
      <c r="AA3" s="3" t="s">
        <v>1</v>
      </c>
      <c r="AB3" s="3" t="s">
        <v>2</v>
      </c>
      <c r="AC3" s="36" t="s">
        <v>3</v>
      </c>
      <c r="AD3" s="3" t="s">
        <v>4</v>
      </c>
      <c r="AE3" s="3" t="s">
        <v>5</v>
      </c>
      <c r="AF3" s="3" t="s">
        <v>6</v>
      </c>
    </row>
    <row r="4" spans="1:32" s="4" customFormat="1" ht="15.75" x14ac:dyDescent="0.25">
      <c r="A4" s="19" t="s">
        <v>8</v>
      </c>
      <c r="B4" s="11">
        <v>117</v>
      </c>
      <c r="C4" s="47"/>
      <c r="D4" s="11">
        <v>117</v>
      </c>
      <c r="E4" s="47"/>
      <c r="F4" s="11">
        <v>117</v>
      </c>
      <c r="G4" s="47"/>
      <c r="H4" s="11">
        <v>117</v>
      </c>
      <c r="I4" s="47"/>
      <c r="J4" s="11">
        <v>117</v>
      </c>
      <c r="K4" s="47"/>
      <c r="L4" s="11">
        <v>117</v>
      </c>
      <c r="M4" s="47"/>
      <c r="N4" s="11">
        <v>117</v>
      </c>
      <c r="O4" s="47"/>
      <c r="P4" s="11">
        <v>117</v>
      </c>
      <c r="Q4" s="47"/>
      <c r="R4" s="11">
        <v>117</v>
      </c>
      <c r="S4" s="84"/>
      <c r="T4" s="11">
        <v>117</v>
      </c>
      <c r="U4" s="47"/>
      <c r="V4" s="11">
        <v>117</v>
      </c>
      <c r="W4" s="47"/>
      <c r="X4" s="11">
        <v>117</v>
      </c>
      <c r="Y4" s="47"/>
      <c r="Z4" s="11">
        <v>117</v>
      </c>
      <c r="AA4" s="47"/>
      <c r="AB4" s="11">
        <v>117</v>
      </c>
      <c r="AC4" s="84"/>
      <c r="AD4" s="11">
        <v>117</v>
      </c>
      <c r="AE4" s="84"/>
      <c r="AF4" s="12">
        <v>117</v>
      </c>
    </row>
    <row r="5" spans="1:32" s="4" customFormat="1" ht="15.75" x14ac:dyDescent="0.25">
      <c r="A5" s="103" t="s">
        <v>10</v>
      </c>
      <c r="B5" s="104">
        <v>0.21805555555555556</v>
      </c>
      <c r="C5" s="48"/>
      <c r="D5" s="104">
        <v>0.21805555555555556</v>
      </c>
      <c r="E5" s="48"/>
      <c r="F5" s="104">
        <v>0.21805555555555556</v>
      </c>
      <c r="G5" s="48"/>
      <c r="H5" s="104">
        <v>0.21805555555555556</v>
      </c>
      <c r="I5" s="48"/>
      <c r="J5" s="104">
        <v>0.21805555555555556</v>
      </c>
      <c r="K5" s="48"/>
      <c r="L5" s="104">
        <v>0.21805555555555556</v>
      </c>
      <c r="M5" s="48"/>
      <c r="N5" s="104">
        <v>0.21805555555555556</v>
      </c>
      <c r="O5" s="48"/>
      <c r="P5" s="104">
        <v>0.21805555555555556</v>
      </c>
      <c r="Q5" s="48"/>
      <c r="R5" s="104">
        <v>0.21805555555555556</v>
      </c>
      <c r="S5" s="10"/>
      <c r="T5" s="104">
        <v>0.21805555555555556</v>
      </c>
      <c r="U5" s="48"/>
      <c r="V5" s="104">
        <v>0.21805555555555556</v>
      </c>
      <c r="W5" s="48"/>
      <c r="X5" s="104">
        <v>0.21805555555555556</v>
      </c>
      <c r="Y5" s="48"/>
      <c r="Z5" s="104">
        <v>0.21805555555555556</v>
      </c>
      <c r="AA5" s="48"/>
      <c r="AB5" s="104">
        <v>0.21805555555555556</v>
      </c>
      <c r="AC5" s="10"/>
      <c r="AD5" s="104">
        <v>0.21805555555555556</v>
      </c>
      <c r="AE5" s="10"/>
      <c r="AF5" s="105">
        <v>0.21805555555555556</v>
      </c>
    </row>
    <row r="6" spans="1:32" s="4" customFormat="1" ht="15.75" x14ac:dyDescent="0.25">
      <c r="A6" s="21" t="s">
        <v>11</v>
      </c>
      <c r="B6" s="14">
        <v>118</v>
      </c>
      <c r="C6" s="9"/>
      <c r="D6" s="14">
        <v>118</v>
      </c>
      <c r="E6" s="9"/>
      <c r="F6" s="14">
        <v>118</v>
      </c>
      <c r="G6" s="9"/>
      <c r="H6" s="14">
        <v>118</v>
      </c>
      <c r="I6" s="9"/>
      <c r="J6" s="14">
        <v>118</v>
      </c>
      <c r="K6" s="9"/>
      <c r="L6" s="14">
        <v>118</v>
      </c>
      <c r="M6" s="9"/>
      <c r="N6" s="14">
        <v>118</v>
      </c>
      <c r="O6" s="9"/>
      <c r="P6" s="14">
        <v>118</v>
      </c>
      <c r="Q6" s="9"/>
      <c r="R6" s="14">
        <v>118</v>
      </c>
      <c r="S6" s="10"/>
      <c r="T6" s="14">
        <v>118</v>
      </c>
      <c r="U6" s="9"/>
      <c r="V6" s="14">
        <v>118</v>
      </c>
      <c r="W6" s="9"/>
      <c r="X6" s="14">
        <v>118</v>
      </c>
      <c r="Y6" s="9"/>
      <c r="Z6" s="14">
        <v>118</v>
      </c>
      <c r="AA6" s="9"/>
      <c r="AB6" s="14">
        <v>118</v>
      </c>
      <c r="AC6" s="10"/>
      <c r="AD6" s="14">
        <v>118</v>
      </c>
      <c r="AE6" s="10"/>
      <c r="AF6" s="15">
        <v>118</v>
      </c>
    </row>
    <row r="7" spans="1:32" s="102" customFormat="1" ht="15.75" x14ac:dyDescent="0.25">
      <c r="A7" s="97" t="s">
        <v>12</v>
      </c>
      <c r="B7" s="98">
        <v>0.96875</v>
      </c>
      <c r="C7" s="99"/>
      <c r="D7" s="98">
        <v>0.96875</v>
      </c>
      <c r="E7" s="99"/>
      <c r="F7" s="98">
        <v>0.96875</v>
      </c>
      <c r="G7" s="99"/>
      <c r="H7" s="98">
        <v>0.96875</v>
      </c>
      <c r="I7" s="99"/>
      <c r="J7" s="98">
        <v>0.96875</v>
      </c>
      <c r="K7" s="99"/>
      <c r="L7" s="98">
        <v>0.96875</v>
      </c>
      <c r="M7" s="99"/>
      <c r="N7" s="98">
        <v>0.96875</v>
      </c>
      <c r="O7" s="99"/>
      <c r="P7" s="98">
        <v>0.96875</v>
      </c>
      <c r="Q7" s="99"/>
      <c r="R7" s="98">
        <v>0.96875</v>
      </c>
      <c r="S7" s="100"/>
      <c r="T7" s="98">
        <v>0.96875</v>
      </c>
      <c r="U7" s="99"/>
      <c r="V7" s="98">
        <v>0.96875</v>
      </c>
      <c r="W7" s="99"/>
      <c r="X7" s="98">
        <v>0.96875</v>
      </c>
      <c r="Y7" s="99"/>
      <c r="Z7" s="98">
        <v>0.96875</v>
      </c>
      <c r="AA7" s="99"/>
      <c r="AB7" s="98">
        <v>0.96875</v>
      </c>
      <c r="AC7" s="100"/>
      <c r="AD7" s="98">
        <v>0.96875</v>
      </c>
      <c r="AE7" s="100"/>
      <c r="AF7" s="101">
        <v>0.96875</v>
      </c>
    </row>
    <row r="8" spans="1:32" s="4" customFormat="1" ht="16.5" thickBot="1" x14ac:dyDescent="0.3">
      <c r="A8" s="23" t="s">
        <v>13</v>
      </c>
      <c r="B8" s="55">
        <f>D7-D5</f>
        <v>0.75069444444444444</v>
      </c>
      <c r="C8" s="85"/>
      <c r="D8" s="55">
        <f>D7-D5</f>
        <v>0.75069444444444444</v>
      </c>
      <c r="E8" s="85"/>
      <c r="F8" s="55">
        <f>F7-F5</f>
        <v>0.75069444444444444</v>
      </c>
      <c r="G8" s="85"/>
      <c r="H8" s="55">
        <f>H7-H5</f>
        <v>0.75069444444444444</v>
      </c>
      <c r="I8" s="85"/>
      <c r="J8" s="55">
        <f>J7-J5</f>
        <v>0.75069444444444444</v>
      </c>
      <c r="K8" s="85"/>
      <c r="L8" s="55">
        <f>L7-L5</f>
        <v>0.75069444444444444</v>
      </c>
      <c r="M8" s="85"/>
      <c r="N8" s="55">
        <f>N7-N5</f>
        <v>0.75069444444444444</v>
      </c>
      <c r="O8" s="85"/>
      <c r="P8" s="55">
        <f>P7-P5</f>
        <v>0.75069444444444444</v>
      </c>
      <c r="Q8" s="85"/>
      <c r="R8" s="55">
        <f>R7-R5</f>
        <v>0.75069444444444444</v>
      </c>
      <c r="S8" s="86"/>
      <c r="T8" s="55">
        <f>T7-T5</f>
        <v>0.75069444444444444</v>
      </c>
      <c r="U8" s="85"/>
      <c r="V8" s="55">
        <f>V7-V5</f>
        <v>0.75069444444444444</v>
      </c>
      <c r="W8" s="85"/>
      <c r="X8" s="55">
        <f>X7-X5</f>
        <v>0.75069444444444444</v>
      </c>
      <c r="Y8" s="85"/>
      <c r="Z8" s="55">
        <f>Z7-Z5</f>
        <v>0.75069444444444444</v>
      </c>
      <c r="AA8" s="85"/>
      <c r="AB8" s="55">
        <f>AB7-AB5</f>
        <v>0.75069444444444444</v>
      </c>
      <c r="AC8" s="86"/>
      <c r="AD8" s="55">
        <f>AD7-AD5</f>
        <v>0.75069444444444444</v>
      </c>
      <c r="AE8" s="86"/>
      <c r="AF8" s="56">
        <f>AF7-AF5</f>
        <v>0.75069444444444444</v>
      </c>
    </row>
    <row r="9" spans="1:32" s="4" customFormat="1" ht="15.75" x14ac:dyDescent="0.25">
      <c r="A9" s="29" t="s">
        <v>8</v>
      </c>
      <c r="B9" s="18">
        <v>3</v>
      </c>
      <c r="C9" s="18">
        <v>3</v>
      </c>
      <c r="D9" s="18">
        <v>3</v>
      </c>
      <c r="E9" s="18">
        <v>3</v>
      </c>
      <c r="F9" s="18">
        <v>3</v>
      </c>
      <c r="G9" s="18">
        <v>3</v>
      </c>
      <c r="H9" s="18">
        <v>3</v>
      </c>
      <c r="I9" s="18">
        <v>3</v>
      </c>
      <c r="J9" s="18">
        <v>3</v>
      </c>
      <c r="K9" s="18">
        <v>3</v>
      </c>
      <c r="L9" s="18">
        <v>3</v>
      </c>
      <c r="M9" s="18">
        <v>3</v>
      </c>
      <c r="N9" s="18">
        <v>3</v>
      </c>
      <c r="O9" s="18">
        <v>3</v>
      </c>
      <c r="P9" s="18">
        <v>3</v>
      </c>
      <c r="Q9" s="18">
        <v>3</v>
      </c>
      <c r="R9" s="18">
        <v>3</v>
      </c>
      <c r="S9" s="18">
        <v>3</v>
      </c>
      <c r="T9" s="18">
        <v>3</v>
      </c>
      <c r="U9" s="18">
        <v>3</v>
      </c>
      <c r="V9" s="18">
        <v>3</v>
      </c>
      <c r="W9" s="18">
        <v>3</v>
      </c>
      <c r="X9" s="18">
        <v>3</v>
      </c>
      <c r="Y9" s="18">
        <v>3</v>
      </c>
      <c r="Z9" s="18">
        <v>3</v>
      </c>
      <c r="AA9" s="18">
        <v>3</v>
      </c>
      <c r="AB9" s="18">
        <v>3</v>
      </c>
      <c r="AC9" s="18">
        <v>3</v>
      </c>
      <c r="AD9" s="18">
        <v>3</v>
      </c>
      <c r="AE9" s="18">
        <v>3</v>
      </c>
      <c r="AF9" s="18">
        <v>3</v>
      </c>
    </row>
    <row r="10" spans="1:32" s="4" customFormat="1" ht="15.75" x14ac:dyDescent="0.25">
      <c r="A10" s="103" t="s">
        <v>10</v>
      </c>
      <c r="B10" s="106">
        <v>0.24305555555555555</v>
      </c>
      <c r="C10" s="106">
        <v>0.24305555555555555</v>
      </c>
      <c r="D10" s="106">
        <v>0.24305555555555555</v>
      </c>
      <c r="E10" s="106">
        <v>0.24305555555555555</v>
      </c>
      <c r="F10" s="106">
        <v>0.24305555555555555</v>
      </c>
      <c r="G10" s="106">
        <v>0.24305555555555555</v>
      </c>
      <c r="H10" s="106">
        <v>0.24305555555555555</v>
      </c>
      <c r="I10" s="106">
        <v>0.24305555555555555</v>
      </c>
      <c r="J10" s="106">
        <v>0.24305555555555555</v>
      </c>
      <c r="K10" s="106">
        <v>0.24305555555555555</v>
      </c>
      <c r="L10" s="106">
        <v>0.24305555555555555</v>
      </c>
      <c r="M10" s="106">
        <v>0.24305555555555555</v>
      </c>
      <c r="N10" s="106">
        <v>0.24305555555555555</v>
      </c>
      <c r="O10" s="106">
        <v>0.24305555555555555</v>
      </c>
      <c r="P10" s="106">
        <v>0.24305555555555555</v>
      </c>
      <c r="Q10" s="106">
        <v>0.24305555555555555</v>
      </c>
      <c r="R10" s="106">
        <v>0.24305555555555555</v>
      </c>
      <c r="S10" s="106">
        <v>0.24305555555555555</v>
      </c>
      <c r="T10" s="106">
        <v>0.24305555555555555</v>
      </c>
      <c r="U10" s="106">
        <v>0.24305555555555555</v>
      </c>
      <c r="V10" s="106">
        <v>0.24305555555555555</v>
      </c>
      <c r="W10" s="106">
        <v>0.24305555555555555</v>
      </c>
      <c r="X10" s="106">
        <v>0.24305555555555555</v>
      </c>
      <c r="Y10" s="106">
        <v>0.24305555555555555</v>
      </c>
      <c r="Z10" s="106">
        <v>0.24305555555555555</v>
      </c>
      <c r="AA10" s="106">
        <v>0.24305555555555555</v>
      </c>
      <c r="AB10" s="106">
        <v>0.24305555555555555</v>
      </c>
      <c r="AC10" s="106">
        <v>0.24305555555555555</v>
      </c>
      <c r="AD10" s="106">
        <v>0.24305555555555555</v>
      </c>
      <c r="AE10" s="106">
        <v>0.24305555555555555</v>
      </c>
      <c r="AF10" s="106">
        <v>0.24305555555555555</v>
      </c>
    </row>
    <row r="11" spans="1:32" s="4" customFormat="1" ht="15.75" x14ac:dyDescent="0.25">
      <c r="A11" s="21" t="s">
        <v>11</v>
      </c>
      <c r="B11" s="14">
        <v>4</v>
      </c>
      <c r="C11" s="14">
        <v>4</v>
      </c>
      <c r="D11" s="14">
        <v>4</v>
      </c>
      <c r="E11" s="69">
        <v>66</v>
      </c>
      <c r="F11" s="14">
        <v>4</v>
      </c>
      <c r="G11" s="68">
        <v>66</v>
      </c>
      <c r="H11" s="14">
        <v>4</v>
      </c>
      <c r="I11" s="68">
        <v>66</v>
      </c>
      <c r="J11" s="14">
        <v>4</v>
      </c>
      <c r="K11" s="69">
        <v>66</v>
      </c>
      <c r="L11" s="14">
        <v>4</v>
      </c>
      <c r="M11" s="68">
        <v>66</v>
      </c>
      <c r="N11" s="14">
        <v>4</v>
      </c>
      <c r="O11" s="68">
        <v>66</v>
      </c>
      <c r="P11" s="14">
        <v>4</v>
      </c>
      <c r="Q11" s="69">
        <v>66</v>
      </c>
      <c r="R11" s="14">
        <v>4</v>
      </c>
      <c r="S11" s="68">
        <v>66</v>
      </c>
      <c r="T11" s="14">
        <v>4</v>
      </c>
      <c r="U11" s="68">
        <v>66</v>
      </c>
      <c r="V11" s="14">
        <v>4</v>
      </c>
      <c r="W11" s="69">
        <v>66</v>
      </c>
      <c r="X11" s="14">
        <v>4</v>
      </c>
      <c r="Y11" s="68">
        <v>66</v>
      </c>
      <c r="Z11" s="14">
        <v>4</v>
      </c>
      <c r="AA11" s="68">
        <v>66</v>
      </c>
      <c r="AB11" s="14">
        <v>4</v>
      </c>
      <c r="AC11" s="69">
        <v>66</v>
      </c>
      <c r="AD11" s="14">
        <v>4</v>
      </c>
      <c r="AE11" s="68">
        <v>66</v>
      </c>
      <c r="AF11" s="14">
        <v>4</v>
      </c>
    </row>
    <row r="12" spans="1:32" s="102" customFormat="1" ht="15.75" x14ac:dyDescent="0.25">
      <c r="A12" s="97" t="s">
        <v>12</v>
      </c>
      <c r="B12" s="107">
        <v>0.48958333333333331</v>
      </c>
      <c r="C12" s="107">
        <v>0.48958333333333331</v>
      </c>
      <c r="D12" s="107">
        <v>0.48958333333333331</v>
      </c>
      <c r="E12" s="108">
        <v>0.90416666666666667</v>
      </c>
      <c r="F12" s="107">
        <v>0.48958333333333331</v>
      </c>
      <c r="G12" s="109">
        <v>0.90416666666666667</v>
      </c>
      <c r="H12" s="107">
        <v>0.48958333333333331</v>
      </c>
      <c r="I12" s="109">
        <v>0.90416666666666667</v>
      </c>
      <c r="J12" s="107">
        <v>0.48958333333333331</v>
      </c>
      <c r="K12" s="108">
        <v>0.90416666666666667</v>
      </c>
      <c r="L12" s="107">
        <v>0.48958333333333331</v>
      </c>
      <c r="M12" s="109">
        <v>0.90416666666666667</v>
      </c>
      <c r="N12" s="107">
        <v>0.48958333333333331</v>
      </c>
      <c r="O12" s="109">
        <v>0.90416666666666667</v>
      </c>
      <c r="P12" s="107">
        <v>0.48958333333333331</v>
      </c>
      <c r="Q12" s="108">
        <v>0.90416666666666667</v>
      </c>
      <c r="R12" s="107">
        <v>0.48958333333333331</v>
      </c>
      <c r="S12" s="109">
        <v>0.90416666666666667</v>
      </c>
      <c r="T12" s="107">
        <v>0.48958333333333331</v>
      </c>
      <c r="U12" s="109">
        <v>0.90416666666666667</v>
      </c>
      <c r="V12" s="107">
        <v>0.48958333333333331</v>
      </c>
      <c r="W12" s="108">
        <v>0.90416666666666667</v>
      </c>
      <c r="X12" s="107">
        <v>0.48958333333333331</v>
      </c>
      <c r="Y12" s="109">
        <v>0.90416666666666667</v>
      </c>
      <c r="Z12" s="107">
        <v>0.48958333333333331</v>
      </c>
      <c r="AA12" s="109">
        <v>0.90416666666666667</v>
      </c>
      <c r="AB12" s="107">
        <v>0.48958333333333331</v>
      </c>
      <c r="AC12" s="108">
        <v>0.90416666666666667</v>
      </c>
      <c r="AD12" s="107">
        <v>0.48958333333333331</v>
      </c>
      <c r="AE12" s="109">
        <v>0.90416666666666667</v>
      </c>
      <c r="AF12" s="107">
        <v>0.48958333333333331</v>
      </c>
    </row>
    <row r="13" spans="1:32" s="4" customFormat="1" ht="16.5" thickBot="1" x14ac:dyDescent="0.3">
      <c r="A13" s="22" t="s">
        <v>13</v>
      </c>
      <c r="B13" s="87">
        <f>B12-B10</f>
        <v>0.24652777777777776</v>
      </c>
      <c r="C13" s="87">
        <f t="shared" ref="C13" si="0">C12-C10</f>
        <v>0.24652777777777776</v>
      </c>
      <c r="D13" s="87">
        <f>D12-D10</f>
        <v>0.24652777777777776</v>
      </c>
      <c r="E13" s="27">
        <f>E12-E10</f>
        <v>0.66111111111111109</v>
      </c>
      <c r="F13" s="87">
        <f>F12-F10</f>
        <v>0.24652777777777776</v>
      </c>
      <c r="G13" s="87">
        <f t="shared" ref="G13:J13" si="1">G12-G10</f>
        <v>0.66111111111111109</v>
      </c>
      <c r="H13" s="87">
        <f t="shared" si="1"/>
        <v>0.24652777777777776</v>
      </c>
      <c r="I13" s="87">
        <f t="shared" si="1"/>
        <v>0.66111111111111109</v>
      </c>
      <c r="J13" s="87">
        <f t="shared" si="1"/>
        <v>0.24652777777777776</v>
      </c>
      <c r="K13" s="87">
        <f t="shared" ref="K13" si="2">K12-K10</f>
        <v>0.66111111111111109</v>
      </c>
      <c r="L13" s="87">
        <f t="shared" ref="L13" si="3">L12-L10</f>
        <v>0.24652777777777776</v>
      </c>
      <c r="M13" s="87">
        <f t="shared" ref="M13:N13" si="4">M12-M10</f>
        <v>0.66111111111111109</v>
      </c>
      <c r="N13" s="87">
        <f t="shared" si="4"/>
        <v>0.24652777777777776</v>
      </c>
      <c r="O13" s="87">
        <f t="shared" ref="O13" si="5">O12-O10</f>
        <v>0.66111111111111109</v>
      </c>
      <c r="P13" s="87">
        <f t="shared" ref="P13" si="6">P12-P10</f>
        <v>0.24652777777777776</v>
      </c>
      <c r="Q13" s="87">
        <f t="shared" ref="Q13:R13" si="7">Q12-Q10</f>
        <v>0.66111111111111109</v>
      </c>
      <c r="R13" s="87">
        <f t="shared" si="7"/>
        <v>0.24652777777777776</v>
      </c>
      <c r="S13" s="87">
        <f t="shared" ref="S13" si="8">S12-S10</f>
        <v>0.66111111111111109</v>
      </c>
      <c r="T13" s="87">
        <f t="shared" ref="T13" si="9">T12-T10</f>
        <v>0.24652777777777776</v>
      </c>
      <c r="U13" s="87">
        <f t="shared" ref="U13:V13" si="10">U12-U10</f>
        <v>0.66111111111111109</v>
      </c>
      <c r="V13" s="87">
        <f t="shared" si="10"/>
        <v>0.24652777777777776</v>
      </c>
      <c r="W13" s="87">
        <f t="shared" ref="W13" si="11">W12-W10</f>
        <v>0.66111111111111109</v>
      </c>
      <c r="X13" s="87">
        <f t="shared" ref="X13" si="12">X12-X10</f>
        <v>0.24652777777777776</v>
      </c>
      <c r="Y13" s="87">
        <f t="shared" ref="Y13:Z13" si="13">Y12-Y10</f>
        <v>0.66111111111111109</v>
      </c>
      <c r="Z13" s="87">
        <f t="shared" si="13"/>
        <v>0.24652777777777776</v>
      </c>
      <c r="AA13" s="87">
        <f t="shared" ref="AA13" si="14">AA12-AA10</f>
        <v>0.66111111111111109</v>
      </c>
      <c r="AB13" s="87">
        <f t="shared" ref="AB13" si="15">AB12-AB10</f>
        <v>0.24652777777777776</v>
      </c>
      <c r="AC13" s="87">
        <f t="shared" ref="AC13:AD13" si="16">AC12-AC10</f>
        <v>0.66111111111111109</v>
      </c>
      <c r="AD13" s="87">
        <f t="shared" si="16"/>
        <v>0.24652777777777776</v>
      </c>
      <c r="AE13" s="87">
        <f t="shared" ref="AE13" si="17">AE12-AE10</f>
        <v>0.66111111111111109</v>
      </c>
      <c r="AF13" s="87">
        <f t="shared" ref="AF13" si="18">AF12-AF10</f>
        <v>0.24652777777777776</v>
      </c>
    </row>
    <row r="14" spans="1:32" s="4" customFormat="1" ht="15.75" x14ac:dyDescent="0.25">
      <c r="A14" s="19" t="s">
        <v>8</v>
      </c>
      <c r="B14" s="11">
        <v>107</v>
      </c>
      <c r="C14" s="11">
        <v>107</v>
      </c>
      <c r="D14" s="11">
        <v>107</v>
      </c>
      <c r="E14" s="11">
        <v>107</v>
      </c>
      <c r="F14" s="11">
        <v>107</v>
      </c>
      <c r="G14" s="11">
        <v>107</v>
      </c>
      <c r="H14" s="11">
        <v>107</v>
      </c>
      <c r="I14" s="11">
        <v>107</v>
      </c>
      <c r="J14" s="11">
        <v>107</v>
      </c>
      <c r="K14" s="11">
        <v>107</v>
      </c>
      <c r="L14" s="11">
        <v>107</v>
      </c>
      <c r="M14" s="11">
        <v>107</v>
      </c>
      <c r="N14" s="11">
        <v>107</v>
      </c>
      <c r="O14" s="11">
        <v>107</v>
      </c>
      <c r="P14" s="11">
        <v>107</v>
      </c>
      <c r="Q14" s="11">
        <v>107</v>
      </c>
      <c r="R14" s="11">
        <v>107</v>
      </c>
      <c r="S14" s="11">
        <v>107</v>
      </c>
      <c r="T14" s="11">
        <v>107</v>
      </c>
      <c r="U14" s="11">
        <v>107</v>
      </c>
      <c r="V14" s="11">
        <v>107</v>
      </c>
      <c r="W14" s="11">
        <v>107</v>
      </c>
      <c r="X14" s="11">
        <v>107</v>
      </c>
      <c r="Y14" s="11">
        <v>107</v>
      </c>
      <c r="Z14" s="11">
        <v>107</v>
      </c>
      <c r="AA14" s="11">
        <v>107</v>
      </c>
      <c r="AB14" s="11">
        <v>107</v>
      </c>
      <c r="AC14" s="11">
        <v>107</v>
      </c>
      <c r="AD14" s="11">
        <v>107</v>
      </c>
      <c r="AE14" s="11">
        <v>107</v>
      </c>
      <c r="AF14" s="12">
        <v>107</v>
      </c>
    </row>
    <row r="15" spans="1:32" s="4" customFormat="1" ht="15.75" x14ac:dyDescent="0.25">
      <c r="A15" s="20" t="s">
        <v>10</v>
      </c>
      <c r="B15" s="6">
        <v>0.45555555555555555</v>
      </c>
      <c r="C15" s="6">
        <v>0.45555555555555555</v>
      </c>
      <c r="D15" s="6">
        <v>0.45555555555555555</v>
      </c>
      <c r="E15" s="6">
        <v>0.45555555555555555</v>
      </c>
      <c r="F15" s="6">
        <v>0.45555555555555555</v>
      </c>
      <c r="G15" s="6">
        <v>0.45555555555555555</v>
      </c>
      <c r="H15" s="6">
        <v>0.45555555555555555</v>
      </c>
      <c r="I15" s="6">
        <v>0.45555555555555555</v>
      </c>
      <c r="J15" s="6">
        <v>0.45555555555555555</v>
      </c>
      <c r="K15" s="6">
        <v>0.45555555555555555</v>
      </c>
      <c r="L15" s="6">
        <v>0.45555555555555555</v>
      </c>
      <c r="M15" s="6">
        <v>0.45555555555555555</v>
      </c>
      <c r="N15" s="6">
        <v>0.45555555555555555</v>
      </c>
      <c r="O15" s="6">
        <v>0.45555555555555555</v>
      </c>
      <c r="P15" s="6">
        <v>0.45555555555555555</v>
      </c>
      <c r="Q15" s="6">
        <v>0.45555555555555555</v>
      </c>
      <c r="R15" s="6">
        <v>0.45555555555555555</v>
      </c>
      <c r="S15" s="6">
        <v>0.45555555555555555</v>
      </c>
      <c r="T15" s="6">
        <v>0.45555555555555555</v>
      </c>
      <c r="U15" s="6">
        <v>0.45555555555555555</v>
      </c>
      <c r="V15" s="6">
        <v>0.45555555555555555</v>
      </c>
      <c r="W15" s="6">
        <v>0.45555555555555555</v>
      </c>
      <c r="X15" s="6">
        <v>0.45555555555555555</v>
      </c>
      <c r="Y15" s="6">
        <v>0.45555555555555555</v>
      </c>
      <c r="Z15" s="6">
        <v>0.45555555555555555</v>
      </c>
      <c r="AA15" s="6">
        <v>0.45555555555555555</v>
      </c>
      <c r="AB15" s="6">
        <v>0.45555555555555555</v>
      </c>
      <c r="AC15" s="6">
        <v>0.45555555555555555</v>
      </c>
      <c r="AD15" s="6">
        <v>0.45555555555555555</v>
      </c>
      <c r="AE15" s="6">
        <v>0.45555555555555555</v>
      </c>
      <c r="AF15" s="16">
        <v>0.45555555555555555</v>
      </c>
    </row>
    <row r="16" spans="1:32" s="4" customFormat="1" ht="15.75" x14ac:dyDescent="0.25">
      <c r="A16" s="21" t="s">
        <v>11</v>
      </c>
      <c r="B16" s="14">
        <v>108</v>
      </c>
      <c r="C16" s="14">
        <v>108</v>
      </c>
      <c r="D16" s="14">
        <v>108</v>
      </c>
      <c r="E16" s="14">
        <v>108</v>
      </c>
      <c r="F16" s="14">
        <v>108</v>
      </c>
      <c r="G16" s="14">
        <v>108</v>
      </c>
      <c r="H16" s="14">
        <v>108</v>
      </c>
      <c r="I16" s="14">
        <v>108</v>
      </c>
      <c r="J16" s="14">
        <v>108</v>
      </c>
      <c r="K16" s="14">
        <v>108</v>
      </c>
      <c r="L16" s="14">
        <v>108</v>
      </c>
      <c r="M16" s="14">
        <v>108</v>
      </c>
      <c r="N16" s="14">
        <v>108</v>
      </c>
      <c r="O16" s="14">
        <v>108</v>
      </c>
      <c r="P16" s="14">
        <v>108</v>
      </c>
      <c r="Q16" s="14">
        <v>108</v>
      </c>
      <c r="R16" s="14">
        <v>108</v>
      </c>
      <c r="S16" s="14">
        <v>108</v>
      </c>
      <c r="T16" s="14">
        <v>108</v>
      </c>
      <c r="U16" s="14">
        <v>108</v>
      </c>
      <c r="V16" s="14">
        <v>108</v>
      </c>
      <c r="W16" s="14">
        <v>108</v>
      </c>
      <c r="X16" s="14">
        <v>108</v>
      </c>
      <c r="Y16" s="14">
        <v>108</v>
      </c>
      <c r="Z16" s="14">
        <v>108</v>
      </c>
      <c r="AA16" s="14">
        <v>108</v>
      </c>
      <c r="AB16" s="14">
        <v>108</v>
      </c>
      <c r="AC16" s="14">
        <v>108</v>
      </c>
      <c r="AD16" s="14">
        <v>108</v>
      </c>
      <c r="AE16" s="14">
        <v>108</v>
      </c>
      <c r="AF16" s="15">
        <v>108</v>
      </c>
    </row>
    <row r="17" spans="1:32" s="102" customFormat="1" ht="15.75" x14ac:dyDescent="0.25">
      <c r="A17" s="97" t="s">
        <v>12</v>
      </c>
      <c r="B17" s="98">
        <v>0.63194444444444442</v>
      </c>
      <c r="C17" s="98">
        <v>0.63194444444444442</v>
      </c>
      <c r="D17" s="98">
        <v>0.63194444444444442</v>
      </c>
      <c r="E17" s="98">
        <v>0.63194444444444442</v>
      </c>
      <c r="F17" s="98">
        <v>0.63194444444444442</v>
      </c>
      <c r="G17" s="98">
        <v>0.63194444444444442</v>
      </c>
      <c r="H17" s="98">
        <v>0.63194444444444442</v>
      </c>
      <c r="I17" s="98">
        <v>0.63194444444444442</v>
      </c>
      <c r="J17" s="98">
        <v>0.63194444444444442</v>
      </c>
      <c r="K17" s="98">
        <v>0.63194444444444442</v>
      </c>
      <c r="L17" s="98">
        <v>0.63194444444444442</v>
      </c>
      <c r="M17" s="98">
        <v>0.63194444444444442</v>
      </c>
      <c r="N17" s="98">
        <v>0.63194444444444442</v>
      </c>
      <c r="O17" s="98">
        <v>0.63194444444444442</v>
      </c>
      <c r="P17" s="98">
        <v>0.63194444444444442</v>
      </c>
      <c r="Q17" s="98">
        <v>0.63194444444444442</v>
      </c>
      <c r="R17" s="98">
        <v>0.63194444444444442</v>
      </c>
      <c r="S17" s="98">
        <v>0.63194444444444442</v>
      </c>
      <c r="T17" s="98">
        <v>0.63194444444444442</v>
      </c>
      <c r="U17" s="98">
        <v>0.63194444444444442</v>
      </c>
      <c r="V17" s="98">
        <v>0.63194444444444442</v>
      </c>
      <c r="W17" s="98">
        <v>0.63194444444444442</v>
      </c>
      <c r="X17" s="98">
        <v>0.63194444444444442</v>
      </c>
      <c r="Y17" s="98">
        <v>0.63194444444444442</v>
      </c>
      <c r="Z17" s="98">
        <v>0.63194444444444442</v>
      </c>
      <c r="AA17" s="98">
        <v>0.63194444444444442</v>
      </c>
      <c r="AB17" s="98">
        <v>0.63194444444444442</v>
      </c>
      <c r="AC17" s="98">
        <v>0.63194444444444442</v>
      </c>
      <c r="AD17" s="98">
        <v>0.63194444444444442</v>
      </c>
      <c r="AE17" s="98">
        <v>0.63194444444444442</v>
      </c>
      <c r="AF17" s="101">
        <v>0.63194444444444442</v>
      </c>
    </row>
    <row r="18" spans="1:32" s="94" customFormat="1" ht="16.5" thickBot="1" x14ac:dyDescent="0.3">
      <c r="A18" s="22" t="s">
        <v>13</v>
      </c>
      <c r="B18" s="95">
        <f t="shared" ref="B18:T18" si="19">B17-B15</f>
        <v>0.17638888888888887</v>
      </c>
      <c r="C18" s="95">
        <f t="shared" si="19"/>
        <v>0.17638888888888887</v>
      </c>
      <c r="D18" s="95">
        <f t="shared" si="19"/>
        <v>0.17638888888888887</v>
      </c>
      <c r="E18" s="95">
        <f t="shared" si="19"/>
        <v>0.17638888888888887</v>
      </c>
      <c r="F18" s="95">
        <f t="shared" si="19"/>
        <v>0.17638888888888887</v>
      </c>
      <c r="G18" s="95">
        <f t="shared" si="19"/>
        <v>0.17638888888888887</v>
      </c>
      <c r="H18" s="95">
        <f t="shared" si="19"/>
        <v>0.17638888888888887</v>
      </c>
      <c r="I18" s="95">
        <f t="shared" si="19"/>
        <v>0.17638888888888887</v>
      </c>
      <c r="J18" s="95">
        <f t="shared" si="19"/>
        <v>0.17638888888888887</v>
      </c>
      <c r="K18" s="95">
        <f t="shared" si="19"/>
        <v>0.17638888888888887</v>
      </c>
      <c r="L18" s="95">
        <f t="shared" si="19"/>
        <v>0.17638888888888887</v>
      </c>
      <c r="M18" s="95">
        <f t="shared" si="19"/>
        <v>0.17638888888888887</v>
      </c>
      <c r="N18" s="95">
        <f t="shared" si="19"/>
        <v>0.17638888888888887</v>
      </c>
      <c r="O18" s="95">
        <f t="shared" si="19"/>
        <v>0.17638888888888887</v>
      </c>
      <c r="P18" s="95">
        <f t="shared" si="19"/>
        <v>0.17638888888888887</v>
      </c>
      <c r="Q18" s="95">
        <f t="shared" si="19"/>
        <v>0.17638888888888887</v>
      </c>
      <c r="R18" s="95">
        <f t="shared" si="19"/>
        <v>0.17638888888888887</v>
      </c>
      <c r="S18" s="95">
        <f t="shared" si="19"/>
        <v>0.17638888888888887</v>
      </c>
      <c r="T18" s="95">
        <f t="shared" si="19"/>
        <v>0.17638888888888887</v>
      </c>
      <c r="U18" s="95">
        <f t="shared" ref="U18:AF18" si="20">U17-U15</f>
        <v>0.17638888888888887</v>
      </c>
      <c r="V18" s="95">
        <f t="shared" si="20"/>
        <v>0.17638888888888887</v>
      </c>
      <c r="W18" s="95">
        <f t="shared" si="20"/>
        <v>0.17638888888888887</v>
      </c>
      <c r="X18" s="95">
        <f t="shared" si="20"/>
        <v>0.17638888888888887</v>
      </c>
      <c r="Y18" s="95">
        <f t="shared" si="20"/>
        <v>0.17638888888888887</v>
      </c>
      <c r="Z18" s="95">
        <f t="shared" si="20"/>
        <v>0.17638888888888887</v>
      </c>
      <c r="AA18" s="95">
        <f t="shared" si="20"/>
        <v>0.17638888888888887</v>
      </c>
      <c r="AB18" s="95">
        <f t="shared" si="20"/>
        <v>0.17638888888888887</v>
      </c>
      <c r="AC18" s="95">
        <f t="shared" si="20"/>
        <v>0.17638888888888887</v>
      </c>
      <c r="AD18" s="95">
        <f t="shared" si="20"/>
        <v>0.17638888888888887</v>
      </c>
      <c r="AE18" s="95">
        <f t="shared" si="20"/>
        <v>0.17638888888888887</v>
      </c>
      <c r="AF18" s="96">
        <f t="shared" si="20"/>
        <v>0.17638888888888887</v>
      </c>
    </row>
    <row r="19" spans="1:32" s="4" customFormat="1" ht="15.75" x14ac:dyDescent="0.25">
      <c r="A19" s="19" t="s">
        <v>8</v>
      </c>
      <c r="B19" s="59"/>
      <c r="C19" s="61">
        <v>65</v>
      </c>
      <c r="D19" s="60"/>
      <c r="E19" s="11" t="s">
        <v>24</v>
      </c>
      <c r="F19" s="61">
        <v>65</v>
      </c>
      <c r="G19" s="60"/>
      <c r="H19" s="62">
        <v>65</v>
      </c>
      <c r="I19" s="60"/>
      <c r="J19" s="61">
        <v>65</v>
      </c>
      <c r="K19" s="60"/>
      <c r="L19" s="61">
        <v>65</v>
      </c>
      <c r="M19" s="60"/>
      <c r="N19" s="62">
        <v>65</v>
      </c>
      <c r="O19" s="60"/>
      <c r="P19" s="61">
        <v>65</v>
      </c>
      <c r="Q19" s="60"/>
      <c r="R19" s="61">
        <v>65</v>
      </c>
      <c r="S19" s="60"/>
      <c r="T19" s="62">
        <v>65</v>
      </c>
      <c r="U19" s="84"/>
      <c r="V19" s="61">
        <v>65</v>
      </c>
      <c r="W19" s="84"/>
      <c r="X19" s="61">
        <v>65</v>
      </c>
      <c r="Y19" s="84"/>
      <c r="Z19" s="62">
        <v>65</v>
      </c>
      <c r="AA19" s="84"/>
      <c r="AB19" s="61">
        <v>65</v>
      </c>
      <c r="AC19" s="84"/>
      <c r="AD19" s="61">
        <v>65</v>
      </c>
      <c r="AE19" s="84"/>
      <c r="AF19" s="63">
        <v>65</v>
      </c>
    </row>
    <row r="20" spans="1:32" s="4" customFormat="1" ht="15.75" x14ac:dyDescent="0.25">
      <c r="A20" s="103" t="s">
        <v>10</v>
      </c>
      <c r="B20" s="104"/>
      <c r="C20" s="113">
        <v>0.51041666666666663</v>
      </c>
      <c r="D20" s="106"/>
      <c r="E20" s="106" t="s">
        <v>25</v>
      </c>
      <c r="F20" s="113">
        <v>0.51041666666666663</v>
      </c>
      <c r="G20" s="106"/>
      <c r="H20" s="114">
        <v>0.51041666666666663</v>
      </c>
      <c r="I20" s="106"/>
      <c r="J20" s="113">
        <v>0.51041666666666663</v>
      </c>
      <c r="K20" s="106"/>
      <c r="L20" s="113">
        <v>0.51041666666666663</v>
      </c>
      <c r="M20" s="106"/>
      <c r="N20" s="114">
        <v>0.51041666666666663</v>
      </c>
      <c r="O20" s="106"/>
      <c r="P20" s="113">
        <v>0.51041666666666663</v>
      </c>
      <c r="Q20" s="106"/>
      <c r="R20" s="113">
        <v>0.51041666666666663</v>
      </c>
      <c r="S20" s="106"/>
      <c r="T20" s="114">
        <v>0.51041666666666663</v>
      </c>
      <c r="U20" s="10"/>
      <c r="V20" s="113">
        <v>0.51041666666666663</v>
      </c>
      <c r="W20" s="10"/>
      <c r="X20" s="113">
        <v>0.51041666666666663</v>
      </c>
      <c r="Y20" s="10"/>
      <c r="Z20" s="114">
        <v>0.51041666666666663</v>
      </c>
      <c r="AA20" s="10"/>
      <c r="AB20" s="113">
        <v>0.51041666666666663</v>
      </c>
      <c r="AC20" s="10"/>
      <c r="AD20" s="113">
        <v>0.51041666666666663</v>
      </c>
      <c r="AE20" s="10"/>
      <c r="AF20" s="115">
        <v>0.51041666666666663</v>
      </c>
    </row>
    <row r="21" spans="1:32" s="4" customFormat="1" ht="15.75" x14ac:dyDescent="0.25">
      <c r="A21" s="21" t="s">
        <v>11</v>
      </c>
      <c r="B21" s="67"/>
      <c r="C21" s="68">
        <v>66</v>
      </c>
      <c r="D21" s="7"/>
      <c r="E21" s="14">
        <v>4</v>
      </c>
      <c r="F21" s="7"/>
      <c r="G21" s="14">
        <v>4</v>
      </c>
      <c r="H21" s="7"/>
      <c r="I21" s="14">
        <v>4</v>
      </c>
      <c r="J21" s="7"/>
      <c r="K21" s="14">
        <v>4</v>
      </c>
      <c r="L21" s="7"/>
      <c r="M21" s="14">
        <v>4</v>
      </c>
      <c r="N21" s="7"/>
      <c r="O21" s="14">
        <v>4</v>
      </c>
      <c r="P21" s="7"/>
      <c r="Q21" s="14">
        <v>4</v>
      </c>
      <c r="R21" s="7"/>
      <c r="S21" s="14">
        <v>4</v>
      </c>
      <c r="T21" s="7"/>
      <c r="U21" s="14">
        <v>4</v>
      </c>
      <c r="V21" s="7"/>
      <c r="W21" s="14">
        <v>4</v>
      </c>
      <c r="X21" s="7"/>
      <c r="Y21" s="14">
        <v>4</v>
      </c>
      <c r="Z21" s="7"/>
      <c r="AA21" s="14">
        <v>4</v>
      </c>
      <c r="AB21" s="7"/>
      <c r="AC21" s="14">
        <v>4</v>
      </c>
      <c r="AD21" s="7"/>
      <c r="AE21" s="14">
        <v>4</v>
      </c>
      <c r="AF21" s="88"/>
    </row>
    <row r="22" spans="1:32" s="102" customFormat="1" ht="15.75" x14ac:dyDescent="0.25">
      <c r="A22" s="97" t="s">
        <v>12</v>
      </c>
      <c r="B22" s="99"/>
      <c r="C22" s="109">
        <v>0.90416666666666667</v>
      </c>
      <c r="D22" s="107"/>
      <c r="E22" s="107">
        <v>0.48958333333333331</v>
      </c>
      <c r="F22" s="107"/>
      <c r="G22" s="107">
        <v>0.48958333333333331</v>
      </c>
      <c r="H22" s="107"/>
      <c r="I22" s="107">
        <v>0.48958333333333331</v>
      </c>
      <c r="J22" s="107"/>
      <c r="K22" s="107">
        <v>0.48958333333333331</v>
      </c>
      <c r="L22" s="107"/>
      <c r="M22" s="107">
        <v>0.48958333333333331</v>
      </c>
      <c r="N22" s="107"/>
      <c r="O22" s="107">
        <v>0.48958333333333331</v>
      </c>
      <c r="P22" s="107"/>
      <c r="Q22" s="107">
        <v>0.48958333333333331</v>
      </c>
      <c r="R22" s="107"/>
      <c r="S22" s="107">
        <v>0.48958333333333331</v>
      </c>
      <c r="T22" s="107"/>
      <c r="U22" s="107">
        <v>0.48958333333333331</v>
      </c>
      <c r="V22" s="107"/>
      <c r="W22" s="107">
        <v>0.48958333333333331</v>
      </c>
      <c r="X22" s="107"/>
      <c r="Y22" s="107">
        <v>0.48958333333333331</v>
      </c>
      <c r="Z22" s="107"/>
      <c r="AA22" s="107">
        <v>0.48958333333333331</v>
      </c>
      <c r="AB22" s="107"/>
      <c r="AC22" s="107">
        <v>0.48958333333333331</v>
      </c>
      <c r="AD22" s="107"/>
      <c r="AE22" s="107">
        <v>0.48958333333333331</v>
      </c>
      <c r="AF22" s="112"/>
    </row>
    <row r="23" spans="1:32" s="4" customFormat="1" ht="16.5" thickBot="1" x14ac:dyDescent="0.3">
      <c r="A23" s="23" t="s">
        <v>13</v>
      </c>
      <c r="B23" s="72"/>
      <c r="C23" s="73">
        <f>C22-C20</f>
        <v>0.39375000000000004</v>
      </c>
      <c r="D23" s="27"/>
      <c r="E23" s="87"/>
      <c r="F23" s="27"/>
      <c r="G23" s="87">
        <f>(G22-F20)+24</f>
        <v>23.979166666666668</v>
      </c>
      <c r="H23" s="27"/>
      <c r="I23" s="87">
        <f>(I22-H20)+24</f>
        <v>23.979166666666668</v>
      </c>
      <c r="J23" s="27"/>
      <c r="K23" s="87">
        <f>(K22-J20)+24</f>
        <v>23.979166666666668</v>
      </c>
      <c r="L23" s="27"/>
      <c r="M23" s="87">
        <f>(M22-L20)+24</f>
        <v>23.979166666666668</v>
      </c>
      <c r="N23" s="27"/>
      <c r="O23" s="87">
        <f>(O22-N20)+24</f>
        <v>23.979166666666668</v>
      </c>
      <c r="P23" s="27"/>
      <c r="Q23" s="87">
        <f>(Q22-P20)+24</f>
        <v>23.979166666666668</v>
      </c>
      <c r="R23" s="27"/>
      <c r="S23" s="87">
        <f>(S22-R20)+24</f>
        <v>23.979166666666668</v>
      </c>
      <c r="T23" s="27"/>
      <c r="U23" s="87">
        <f>(U22-T20)+24</f>
        <v>23.979166666666668</v>
      </c>
      <c r="V23" s="27"/>
      <c r="W23" s="87">
        <f>(W22-V20)+24</f>
        <v>23.979166666666668</v>
      </c>
      <c r="X23" s="27"/>
      <c r="Y23" s="87">
        <f>(Y22-X20)+24</f>
        <v>23.979166666666668</v>
      </c>
      <c r="Z23" s="27"/>
      <c r="AA23" s="87">
        <f>(AA22-Z20)+24</f>
        <v>23.979166666666668</v>
      </c>
      <c r="AB23" s="27"/>
      <c r="AC23" s="87">
        <f>(AC22-AB20)+24</f>
        <v>23.979166666666668</v>
      </c>
      <c r="AD23" s="27"/>
      <c r="AE23" s="87">
        <f>(AE22-AD20)+24</f>
        <v>23.979166666666668</v>
      </c>
      <c r="AF23" s="89"/>
    </row>
    <row r="24" spans="1:32" s="4" customFormat="1" ht="15.75" x14ac:dyDescent="0.25">
      <c r="A24" s="37" t="s">
        <v>8</v>
      </c>
      <c r="B24" s="11">
        <v>121</v>
      </c>
      <c r="C24" s="11">
        <v>121</v>
      </c>
      <c r="D24" s="11">
        <v>121</v>
      </c>
      <c r="E24" s="11">
        <v>121</v>
      </c>
      <c r="F24" s="11">
        <v>121</v>
      </c>
      <c r="G24" s="11">
        <v>121</v>
      </c>
      <c r="H24" s="11">
        <v>121</v>
      </c>
      <c r="I24" s="11">
        <v>121</v>
      </c>
      <c r="J24" s="11">
        <v>121</v>
      </c>
      <c r="K24" s="11">
        <v>121</v>
      </c>
      <c r="L24" s="11">
        <v>121</v>
      </c>
      <c r="M24" s="11">
        <v>121</v>
      </c>
      <c r="N24" s="11">
        <v>121</v>
      </c>
      <c r="O24" s="11">
        <v>121</v>
      </c>
      <c r="P24" s="11">
        <v>121</v>
      </c>
      <c r="Q24" s="11">
        <v>121</v>
      </c>
      <c r="R24" s="11">
        <v>121</v>
      </c>
      <c r="S24" s="11">
        <v>121</v>
      </c>
      <c r="T24" s="11">
        <v>121</v>
      </c>
      <c r="U24" s="11">
        <v>121</v>
      </c>
      <c r="V24" s="11">
        <v>121</v>
      </c>
      <c r="W24" s="11">
        <v>121</v>
      </c>
      <c r="X24" s="11">
        <v>121</v>
      </c>
      <c r="Y24" s="11">
        <v>121</v>
      </c>
      <c r="Z24" s="11">
        <v>121</v>
      </c>
      <c r="AA24" s="11">
        <v>121</v>
      </c>
      <c r="AB24" s="11">
        <v>121</v>
      </c>
      <c r="AC24" s="11">
        <v>121</v>
      </c>
      <c r="AD24" s="11">
        <v>121</v>
      </c>
      <c r="AE24" s="11">
        <v>121</v>
      </c>
      <c r="AF24" s="12">
        <v>121</v>
      </c>
    </row>
    <row r="25" spans="1:32" s="4" customFormat="1" ht="15.75" x14ac:dyDescent="0.25">
      <c r="A25" s="111" t="s">
        <v>10</v>
      </c>
      <c r="B25" s="104">
        <v>0.92708333333333337</v>
      </c>
      <c r="C25" s="104">
        <v>0.92708333333333337</v>
      </c>
      <c r="D25" s="104">
        <v>0.92708333333333337</v>
      </c>
      <c r="E25" s="104">
        <v>0.92708333333333337</v>
      </c>
      <c r="F25" s="104">
        <v>0.92708333333333337</v>
      </c>
      <c r="G25" s="104">
        <v>0.92708333333333337</v>
      </c>
      <c r="H25" s="104">
        <v>0.92708333333333337</v>
      </c>
      <c r="I25" s="104">
        <v>0.92708333333333337</v>
      </c>
      <c r="J25" s="104">
        <v>0.92708333333333337</v>
      </c>
      <c r="K25" s="104">
        <v>0.92708333333333337</v>
      </c>
      <c r="L25" s="104">
        <v>0.92708333333333337</v>
      </c>
      <c r="M25" s="104">
        <v>0.92708333333333337</v>
      </c>
      <c r="N25" s="104">
        <v>0.92708333333333337</v>
      </c>
      <c r="O25" s="104">
        <v>0.92708333333333337</v>
      </c>
      <c r="P25" s="104">
        <v>0.92708333333333337</v>
      </c>
      <c r="Q25" s="104">
        <v>0.92708333333333337</v>
      </c>
      <c r="R25" s="104">
        <v>0.92708333333333337</v>
      </c>
      <c r="S25" s="104">
        <v>0.92708333333333337</v>
      </c>
      <c r="T25" s="104">
        <v>0.92708333333333337</v>
      </c>
      <c r="U25" s="104">
        <v>0.92708333333333337</v>
      </c>
      <c r="V25" s="104">
        <v>0.92708333333333337</v>
      </c>
      <c r="W25" s="104">
        <v>0.92708333333333337</v>
      </c>
      <c r="X25" s="104">
        <v>0.92708333333333337</v>
      </c>
      <c r="Y25" s="104">
        <v>0.92708333333333337</v>
      </c>
      <c r="Z25" s="104">
        <v>0.92708333333333337</v>
      </c>
      <c r="AA25" s="104">
        <v>0.92708333333333337</v>
      </c>
      <c r="AB25" s="104">
        <v>0.92708333333333337</v>
      </c>
      <c r="AC25" s="104">
        <v>0.92708333333333337</v>
      </c>
      <c r="AD25" s="104">
        <v>0.92708333333333337</v>
      </c>
      <c r="AE25" s="104">
        <v>0.92708333333333337</v>
      </c>
      <c r="AF25" s="105">
        <v>0.92708333333333337</v>
      </c>
    </row>
    <row r="26" spans="1:32" s="4" customFormat="1" ht="15.75" x14ac:dyDescent="0.25">
      <c r="A26" s="43" t="s">
        <v>11</v>
      </c>
      <c r="B26" s="14">
        <v>122</v>
      </c>
      <c r="C26" s="14">
        <v>122</v>
      </c>
      <c r="D26" s="14">
        <v>122</v>
      </c>
      <c r="E26" s="14">
        <v>122</v>
      </c>
      <c r="F26" s="14">
        <v>122</v>
      </c>
      <c r="G26" s="14">
        <v>122</v>
      </c>
      <c r="H26" s="14">
        <v>122</v>
      </c>
      <c r="I26" s="14">
        <v>122</v>
      </c>
      <c r="J26" s="14">
        <v>122</v>
      </c>
      <c r="K26" s="14">
        <v>122</v>
      </c>
      <c r="L26" s="14">
        <v>122</v>
      </c>
      <c r="M26" s="14">
        <v>122</v>
      </c>
      <c r="N26" s="14">
        <v>122</v>
      </c>
      <c r="O26" s="14">
        <v>122</v>
      </c>
      <c r="P26" s="14">
        <v>122</v>
      </c>
      <c r="Q26" s="14">
        <v>122</v>
      </c>
      <c r="R26" s="14">
        <v>122</v>
      </c>
      <c r="S26" s="14">
        <v>122</v>
      </c>
      <c r="T26" s="14">
        <v>122</v>
      </c>
      <c r="U26" s="14">
        <v>122</v>
      </c>
      <c r="V26" s="14">
        <v>122</v>
      </c>
      <c r="W26" s="14">
        <v>122</v>
      </c>
      <c r="X26" s="14">
        <v>122</v>
      </c>
      <c r="Y26" s="14">
        <v>122</v>
      </c>
      <c r="Z26" s="14">
        <v>122</v>
      </c>
      <c r="AA26" s="14">
        <v>122</v>
      </c>
      <c r="AB26" s="14">
        <v>122</v>
      </c>
      <c r="AC26" s="14">
        <v>122</v>
      </c>
      <c r="AD26" s="14">
        <v>122</v>
      </c>
      <c r="AE26" s="14">
        <v>122</v>
      </c>
      <c r="AF26" s="15">
        <v>122</v>
      </c>
    </row>
    <row r="27" spans="1:32" s="102" customFormat="1" ht="15.75" x14ac:dyDescent="0.25">
      <c r="A27" s="110" t="s">
        <v>12</v>
      </c>
      <c r="B27" s="98">
        <v>0.19791666666666666</v>
      </c>
      <c r="C27" s="98">
        <v>0.19791666666666666</v>
      </c>
      <c r="D27" s="98">
        <v>0.19791666666666666</v>
      </c>
      <c r="E27" s="98">
        <v>0.19791666666666666</v>
      </c>
      <c r="F27" s="98">
        <v>0.19791666666666666</v>
      </c>
      <c r="G27" s="98">
        <v>0.19791666666666666</v>
      </c>
      <c r="H27" s="98">
        <v>0.19791666666666666</v>
      </c>
      <c r="I27" s="98">
        <v>0.19791666666666666</v>
      </c>
      <c r="J27" s="98">
        <v>0.19791666666666666</v>
      </c>
      <c r="K27" s="98">
        <v>0.19791666666666666</v>
      </c>
      <c r="L27" s="98">
        <v>0.19791666666666666</v>
      </c>
      <c r="M27" s="98">
        <v>0.19791666666666666</v>
      </c>
      <c r="N27" s="98">
        <v>0.19791666666666666</v>
      </c>
      <c r="O27" s="98">
        <v>0.19791666666666666</v>
      </c>
      <c r="P27" s="98">
        <v>0.19791666666666666</v>
      </c>
      <c r="Q27" s="98">
        <v>0.19791666666666666</v>
      </c>
      <c r="R27" s="98">
        <v>0.19791666666666666</v>
      </c>
      <c r="S27" s="98">
        <v>0.19791666666666666</v>
      </c>
      <c r="T27" s="98">
        <v>0.19791666666666666</v>
      </c>
      <c r="U27" s="98">
        <v>0.19791666666666666</v>
      </c>
      <c r="V27" s="98">
        <v>0.19791666666666666</v>
      </c>
      <c r="W27" s="98">
        <v>0.19791666666666666</v>
      </c>
      <c r="X27" s="98">
        <v>0.19791666666666666</v>
      </c>
      <c r="Y27" s="98">
        <v>0.19791666666666666</v>
      </c>
      <c r="Z27" s="98">
        <v>0.19791666666666666</v>
      </c>
      <c r="AA27" s="98">
        <v>0.19791666666666666</v>
      </c>
      <c r="AB27" s="98">
        <v>0.19791666666666666</v>
      </c>
      <c r="AC27" s="98">
        <v>0.19791666666666666</v>
      </c>
      <c r="AD27" s="98">
        <v>0.19791666666666666</v>
      </c>
      <c r="AE27" s="98">
        <v>0.19791666666666666</v>
      </c>
      <c r="AF27" s="101">
        <v>0.19791666666666666</v>
      </c>
    </row>
    <row r="28" spans="1:32" s="94" customFormat="1" ht="16.5" thickBot="1" x14ac:dyDescent="0.3">
      <c r="A28" s="50" t="s">
        <v>13</v>
      </c>
      <c r="B28" s="27">
        <f t="shared" ref="B28:AF28" si="21">(B27-B25)+24</f>
        <v>23.270833333333332</v>
      </c>
      <c r="C28" s="27">
        <f t="shared" ref="C28" si="22">(C27-C25)+24</f>
        <v>23.270833333333332</v>
      </c>
      <c r="D28" s="27">
        <f t="shared" ref="D28:AF28" si="23">(D27-D25)+24</f>
        <v>23.270833333333332</v>
      </c>
      <c r="E28" s="27">
        <f t="shared" si="23"/>
        <v>23.270833333333332</v>
      </c>
      <c r="F28" s="27">
        <f t="shared" si="23"/>
        <v>23.270833333333332</v>
      </c>
      <c r="G28" s="27">
        <f t="shared" si="23"/>
        <v>23.270833333333332</v>
      </c>
      <c r="H28" s="27">
        <f t="shared" si="23"/>
        <v>23.270833333333332</v>
      </c>
      <c r="I28" s="27">
        <f t="shared" si="23"/>
        <v>23.270833333333332</v>
      </c>
      <c r="J28" s="27">
        <f t="shared" si="23"/>
        <v>23.270833333333332</v>
      </c>
      <c r="K28" s="27">
        <f t="shared" si="23"/>
        <v>23.270833333333332</v>
      </c>
      <c r="L28" s="27">
        <f t="shared" si="23"/>
        <v>23.270833333333332</v>
      </c>
      <c r="M28" s="27">
        <f t="shared" si="23"/>
        <v>23.270833333333332</v>
      </c>
      <c r="N28" s="27">
        <f t="shared" si="23"/>
        <v>23.270833333333332</v>
      </c>
      <c r="O28" s="27">
        <f t="shared" si="23"/>
        <v>23.270833333333332</v>
      </c>
      <c r="P28" s="27">
        <f t="shared" si="23"/>
        <v>23.270833333333332</v>
      </c>
      <c r="Q28" s="27">
        <f t="shared" si="23"/>
        <v>23.270833333333332</v>
      </c>
      <c r="R28" s="27">
        <f t="shared" si="23"/>
        <v>23.270833333333332</v>
      </c>
      <c r="S28" s="27">
        <f t="shared" si="23"/>
        <v>23.270833333333332</v>
      </c>
      <c r="T28" s="27">
        <f t="shared" si="23"/>
        <v>23.270833333333332</v>
      </c>
      <c r="U28" s="27">
        <f t="shared" si="23"/>
        <v>23.270833333333332</v>
      </c>
      <c r="V28" s="27">
        <f t="shared" si="23"/>
        <v>23.270833333333332</v>
      </c>
      <c r="W28" s="27">
        <f t="shared" si="23"/>
        <v>23.270833333333332</v>
      </c>
      <c r="X28" s="27">
        <f t="shared" si="23"/>
        <v>23.270833333333332</v>
      </c>
      <c r="Y28" s="27">
        <f t="shared" si="23"/>
        <v>23.270833333333332</v>
      </c>
      <c r="Z28" s="27">
        <f t="shared" si="23"/>
        <v>23.270833333333332</v>
      </c>
      <c r="AA28" s="27">
        <f t="shared" si="23"/>
        <v>23.270833333333332</v>
      </c>
      <c r="AB28" s="27">
        <f t="shared" si="23"/>
        <v>23.270833333333332</v>
      </c>
      <c r="AC28" s="27">
        <f t="shared" si="23"/>
        <v>23.270833333333332</v>
      </c>
      <c r="AD28" s="27">
        <f t="shared" si="23"/>
        <v>23.270833333333332</v>
      </c>
      <c r="AE28" s="27">
        <f t="shared" si="23"/>
        <v>23.270833333333332</v>
      </c>
      <c r="AF28" s="28">
        <f t="shared" si="23"/>
        <v>23.270833333333332</v>
      </c>
    </row>
    <row r="30" spans="1:32" x14ac:dyDescent="0.25">
      <c r="A30" s="92" t="s">
        <v>23</v>
      </c>
      <c r="B30" s="90"/>
      <c r="C30" s="90"/>
    </row>
    <row r="31" spans="1:32" ht="15.75" x14ac:dyDescent="0.25">
      <c r="A31" s="68" t="s">
        <v>22</v>
      </c>
      <c r="B31" s="93" t="s">
        <v>20</v>
      </c>
      <c r="C31" s="93"/>
    </row>
    <row r="32" spans="1:32" ht="15.75" x14ac:dyDescent="0.25">
      <c r="A32" s="69" t="s">
        <v>22</v>
      </c>
      <c r="B32" s="93" t="s">
        <v>21</v>
      </c>
      <c r="C32" s="93"/>
    </row>
  </sheetData>
  <mergeCells count="2">
    <mergeCell ref="A2:A3"/>
    <mergeCell ref="B1:A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декабрь с 13.12</vt:lpstr>
      <vt:lpstr>январь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2025-12-10T05:25:59Z</dcterms:modified>
</cp:coreProperties>
</file>