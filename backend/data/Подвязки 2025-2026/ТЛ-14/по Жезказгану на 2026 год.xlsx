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с 14.12.25" sheetId="1" r:id="rId1"/>
    <sheet name="январь" sheetId="2" r:id="rId2"/>
  </sheets>
  <calcPr calcId="152511" iterate="1"/>
</workbook>
</file>

<file path=xl/calcChain.xml><?xml version="1.0" encoding="utf-8"?>
<calcChain xmlns="http://schemas.openxmlformats.org/spreadsheetml/2006/main">
  <c r="AF32" i="2" l="1"/>
  <c r="AD32" i="2"/>
  <c r="AB32" i="2"/>
  <c r="Z32" i="2"/>
  <c r="X32" i="2"/>
  <c r="V32" i="2"/>
  <c r="AF27" i="2"/>
  <c r="AD27" i="2"/>
  <c r="AB27" i="2"/>
  <c r="Z27" i="2"/>
  <c r="X27" i="2"/>
  <c r="V27" i="2"/>
  <c r="AG42" i="2"/>
  <c r="AE42" i="2"/>
  <c r="AC42" i="2"/>
  <c r="AA42" i="2"/>
  <c r="Y42" i="2"/>
  <c r="W42" i="2"/>
  <c r="U42" i="2"/>
  <c r="AG37" i="2"/>
  <c r="AE37" i="2"/>
  <c r="AC37" i="2"/>
  <c r="AA37" i="2"/>
  <c r="Y37" i="2"/>
  <c r="W37" i="2"/>
  <c r="U37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AF22" i="2"/>
  <c r="AD22" i="2"/>
  <c r="AB22" i="2"/>
  <c r="Z22" i="2"/>
  <c r="X22" i="2"/>
  <c r="V22" i="2"/>
  <c r="AF17" i="2"/>
  <c r="AD17" i="2"/>
  <c r="AB17" i="2"/>
  <c r="Z17" i="2"/>
  <c r="X17" i="2"/>
  <c r="V17" i="2"/>
  <c r="S42" i="2"/>
  <c r="Q42" i="2"/>
  <c r="O42" i="2"/>
  <c r="M42" i="2"/>
  <c r="K42" i="2"/>
  <c r="I42" i="2"/>
  <c r="G42" i="2"/>
  <c r="E42" i="2"/>
  <c r="C42" i="2"/>
  <c r="S37" i="2"/>
  <c r="Q37" i="2"/>
  <c r="O37" i="2"/>
  <c r="M37" i="2"/>
  <c r="K37" i="2"/>
  <c r="I37" i="2"/>
  <c r="G37" i="2"/>
  <c r="E37" i="2"/>
  <c r="C37" i="2"/>
  <c r="T32" i="2"/>
  <c r="R32" i="2"/>
  <c r="P32" i="2"/>
  <c r="N32" i="2"/>
  <c r="L32" i="2"/>
  <c r="J32" i="2"/>
  <c r="H32" i="2"/>
  <c r="F32" i="2"/>
  <c r="T27" i="2"/>
  <c r="R27" i="2"/>
  <c r="P27" i="2"/>
  <c r="N27" i="2"/>
  <c r="L27" i="2"/>
  <c r="J27" i="2"/>
  <c r="H27" i="2"/>
  <c r="F27" i="2"/>
  <c r="D27" i="2"/>
  <c r="T22" i="2"/>
  <c r="R22" i="2"/>
  <c r="P22" i="2"/>
  <c r="N22" i="2"/>
  <c r="L22" i="2"/>
  <c r="J22" i="2"/>
  <c r="H22" i="2"/>
  <c r="F22" i="2"/>
  <c r="D22" i="2"/>
  <c r="R17" i="2"/>
  <c r="P17" i="2"/>
  <c r="N17" i="2"/>
  <c r="L17" i="2"/>
  <c r="J17" i="2"/>
  <c r="H17" i="2"/>
  <c r="F17" i="2"/>
  <c r="D17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S22" i="1"/>
  <c r="Q22" i="1"/>
  <c r="O22" i="1"/>
  <c r="M22" i="1"/>
  <c r="K22" i="1"/>
  <c r="I22" i="1"/>
  <c r="G22" i="1"/>
  <c r="E22" i="1"/>
  <c r="C22" i="1"/>
  <c r="T27" i="1"/>
  <c r="R27" i="1"/>
  <c r="P27" i="1"/>
  <c r="N27" i="1"/>
  <c r="L27" i="1"/>
  <c r="J27" i="1"/>
  <c r="H27" i="1"/>
  <c r="F27" i="1"/>
  <c r="T32" i="1"/>
  <c r="R32" i="1"/>
  <c r="P32" i="1"/>
  <c r="N32" i="1"/>
  <c r="L32" i="1"/>
  <c r="J32" i="1"/>
  <c r="H32" i="1"/>
  <c r="S42" i="1"/>
  <c r="Q42" i="1"/>
  <c r="O42" i="1"/>
  <c r="M42" i="1"/>
  <c r="K42" i="1"/>
  <c r="I42" i="1"/>
  <c r="G42" i="1"/>
  <c r="E42" i="1"/>
  <c r="S37" i="1"/>
  <c r="Q37" i="1"/>
  <c r="O37" i="1"/>
  <c r="M37" i="1"/>
  <c r="K37" i="1"/>
  <c r="I37" i="1"/>
  <c r="G37" i="1"/>
  <c r="E37" i="1"/>
  <c r="Q17" i="1"/>
  <c r="O17" i="1"/>
  <c r="M17" i="1"/>
  <c r="K17" i="1"/>
  <c r="I17" i="1"/>
  <c r="G17" i="1"/>
  <c r="E17" i="1"/>
  <c r="C42" i="1"/>
  <c r="C37" i="1"/>
  <c r="F32" i="1"/>
  <c r="D27" i="1"/>
  <c r="C17" i="1"/>
  <c r="C12" i="1"/>
</calcChain>
</file>

<file path=xl/sharedStrings.xml><?xml version="1.0" encoding="utf-8"?>
<sst xmlns="http://schemas.openxmlformats.org/spreadsheetml/2006/main" count="280" uniqueCount="22">
  <si>
    <t>Декабрь</t>
  </si>
  <si>
    <t>наименование операций</t>
  </si>
  <si>
    <t>вс</t>
  </si>
  <si>
    <t>пн</t>
  </si>
  <si>
    <t>вт</t>
  </si>
  <si>
    <t>ср</t>
  </si>
  <si>
    <t>чт</t>
  </si>
  <si>
    <t>пт</t>
  </si>
  <si>
    <t>сб</t>
  </si>
  <si>
    <t>отцепка лок-ва от поезда</t>
  </si>
  <si>
    <t>вр.прибытие поезда</t>
  </si>
  <si>
    <t>прицепка лок-ва к поезду</t>
  </si>
  <si>
    <t>время отправления поезда</t>
  </si>
  <si>
    <t>время простоя локомотива</t>
  </si>
  <si>
    <t>по "к"</t>
  </si>
  <si>
    <t>СОСТАВИЛ:</t>
  </si>
  <si>
    <t>ТЛ-14 КАРАГАНДА                                                     Каримов Е.С.</t>
  </si>
  <si>
    <t>ТЧЭМИ-15                                                          ТИТОВ С.Ю.</t>
  </si>
  <si>
    <t xml:space="preserve"> </t>
  </si>
  <si>
    <t>График подвязки пассажирских локомотивов по пункту оборота станции Жезказган (теплотяга) на декабрь месяц 2025 года</t>
  </si>
  <si>
    <t>Январь</t>
  </si>
  <si>
    <t>ТЛ-14 КАРАГАНДА                                 Каримов Е.С.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</si>
</sst>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400]h:mm:ss\ AM/PM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b/>
      <i/>
      <sz val="12"/>
      <color rgb="FFFF0000"/>
      <name val="Times New Roman"/>
      <family val="1"/>
      <charset val="204"/>
    </font>
    <font>
      <b/>
      <i/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sz val="1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2" fillId="0" borderId="4" xfId="0" applyFont="1" applyBorder="1" applyAlignment="1">
      <alignment horizontal="left"/>
    </xf>
    <xf numFmtId="0" fontId="6" fillId="2" borderId="5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1" fillId="0" borderId="11" xfId="0" applyFont="1" applyBorder="1" applyAlignment="1">
      <alignment horizontal="right"/>
    </xf>
    <xf numFmtId="164" fontId="7" fillId="2" borderId="12" xfId="0" applyNumberFormat="1" applyFont="1" applyFill="1" applyBorder="1" applyAlignment="1">
      <alignment horizontal="center" wrapText="1"/>
    </xf>
    <xf numFmtId="164" fontId="7" fillId="2" borderId="13" xfId="0" applyNumberFormat="1" applyFont="1" applyFill="1" applyBorder="1" applyAlignment="1">
      <alignment horizontal="center" wrapText="1"/>
    </xf>
    <xf numFmtId="0" fontId="1" fillId="0" borderId="0" xfId="0" applyFont="1" applyAlignment="1">
      <alignment horizontal="right"/>
    </xf>
    <xf numFmtId="0" fontId="2" fillId="0" borderId="11" xfId="0" applyFont="1" applyBorder="1" applyAlignment="1">
      <alignment horizontal="left"/>
    </xf>
    <xf numFmtId="0" fontId="6" fillId="2" borderId="12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"/>
    </xf>
    <xf numFmtId="0" fontId="4" fillId="0" borderId="14" xfId="0" applyFont="1" applyBorder="1"/>
    <xf numFmtId="20" fontId="8" fillId="2" borderId="15" xfId="0" applyNumberFormat="1" applyFont="1" applyFill="1" applyBorder="1" applyAlignment="1">
      <alignment horizontal="center"/>
    </xf>
    <xf numFmtId="20" fontId="8" fillId="2" borderId="16" xfId="0" applyNumberFormat="1" applyFont="1" applyFill="1" applyBorder="1" applyAlignment="1">
      <alignment horizontal="center"/>
    </xf>
    <xf numFmtId="20" fontId="8" fillId="2" borderId="5" xfId="0" applyNumberFormat="1" applyFont="1" applyFill="1" applyBorder="1" applyAlignment="1">
      <alignment horizontal="center"/>
    </xf>
    <xf numFmtId="20" fontId="8" fillId="2" borderId="12" xfId="0" applyNumberFormat="1" applyFont="1" applyFill="1" applyBorder="1" applyAlignment="1">
      <alignment horizontal="center"/>
    </xf>
    <xf numFmtId="0" fontId="1" fillId="0" borderId="12" xfId="0" applyFont="1" applyBorder="1" applyAlignment="1">
      <alignment horizontal="left"/>
    </xf>
    <xf numFmtId="0" fontId="9" fillId="2" borderId="12" xfId="0" applyFont="1" applyFill="1" applyBorder="1" applyAlignment="1">
      <alignment horizontal="center"/>
    </xf>
    <xf numFmtId="20" fontId="8" fillId="2" borderId="13" xfId="0" applyNumberFormat="1" applyFont="1" applyFill="1" applyBorder="1" applyAlignment="1">
      <alignment horizontal="center"/>
    </xf>
    <xf numFmtId="0" fontId="1" fillId="0" borderId="12" xfId="0" applyFont="1" applyBorder="1" applyAlignment="1">
      <alignment horizontal="right"/>
    </xf>
    <xf numFmtId="0" fontId="4" fillId="0" borderId="7" xfId="0" applyFont="1" applyBorder="1"/>
    <xf numFmtId="0" fontId="1" fillId="0" borderId="8" xfId="0" applyFont="1" applyBorder="1" applyAlignment="1">
      <alignment horizontal="right"/>
    </xf>
    <xf numFmtId="164" fontId="8" fillId="0" borderId="8" xfId="0" applyNumberFormat="1" applyFont="1" applyBorder="1" applyAlignment="1">
      <alignment horizontal="center"/>
    </xf>
    <xf numFmtId="20" fontId="8" fillId="2" borderId="8" xfId="0" applyNumberFormat="1" applyFont="1" applyFill="1" applyBorder="1" applyAlignment="1">
      <alignment horizontal="center"/>
    </xf>
    <xf numFmtId="20" fontId="8" fillId="2" borderId="9" xfId="0" applyNumberFormat="1" applyFont="1" applyFill="1" applyBorder="1" applyAlignment="1">
      <alignment horizontal="center"/>
    </xf>
    <xf numFmtId="0" fontId="2" fillId="0" borderId="17" xfId="0" applyFont="1" applyBorder="1" applyAlignment="1">
      <alignment horizontal="left"/>
    </xf>
    <xf numFmtId="0" fontId="9" fillId="2" borderId="12" xfId="0" applyNumberFormat="1" applyFont="1" applyFill="1" applyBorder="1" applyAlignment="1">
      <alignment horizontal="center"/>
    </xf>
    <xf numFmtId="0" fontId="9" fillId="2" borderId="13" xfId="0" applyNumberFormat="1" applyFont="1" applyFill="1" applyBorder="1" applyAlignment="1">
      <alignment horizontal="center"/>
    </xf>
    <xf numFmtId="0" fontId="9" fillId="2" borderId="13" xfId="0" applyFont="1" applyFill="1" applyBorder="1" applyAlignment="1">
      <alignment horizontal="center"/>
    </xf>
    <xf numFmtId="164" fontId="8" fillId="2" borderId="8" xfId="0" applyNumberFormat="1" applyFont="1" applyFill="1" applyBorder="1" applyAlignment="1">
      <alignment horizontal="center"/>
    </xf>
    <xf numFmtId="164" fontId="8" fillId="0" borderId="9" xfId="0" applyNumberFormat="1" applyFont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6" fillId="2" borderId="10" xfId="0" applyNumberFormat="1" applyFont="1" applyFill="1" applyBorder="1" applyAlignment="1"/>
    <xf numFmtId="0" fontId="6" fillId="2" borderId="12" xfId="0" applyNumberFormat="1" applyFont="1" applyFill="1" applyBorder="1" applyAlignment="1"/>
    <xf numFmtId="0" fontId="6" fillId="2" borderId="8" xfId="0" applyNumberFormat="1" applyFont="1" applyFill="1" applyBorder="1" applyAlignment="1"/>
    <xf numFmtId="0" fontId="5" fillId="0" borderId="1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2" borderId="0" xfId="0" applyFont="1" applyFill="1" applyBorder="1" applyAlignment="1">
      <alignment horizontal="center"/>
    </xf>
    <xf numFmtId="0" fontId="7" fillId="2" borderId="0" xfId="0" applyFont="1" applyFill="1" applyBorder="1" applyAlignment="1">
      <alignment horizontal="center"/>
    </xf>
    <xf numFmtId="0" fontId="0" fillId="2" borderId="0" xfId="0" applyFill="1"/>
    <xf numFmtId="0" fontId="11" fillId="0" borderId="0" xfId="0" applyFont="1"/>
    <xf numFmtId="0" fontId="12" fillId="0" borderId="0" xfId="0" applyFont="1"/>
    <xf numFmtId="0" fontId="11" fillId="0" borderId="0" xfId="0" applyFont="1" applyAlignment="1">
      <alignment horizontal="center"/>
    </xf>
    <xf numFmtId="0" fontId="9" fillId="2" borderId="10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13" xfId="0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0" fontId="9" fillId="2" borderId="18" xfId="0" applyFont="1" applyFill="1" applyBorder="1" applyAlignment="1">
      <alignment horizontal="center"/>
    </xf>
    <xf numFmtId="0" fontId="1" fillId="0" borderId="9" xfId="0" applyFont="1" applyBorder="1"/>
    <xf numFmtId="164" fontId="8" fillId="0" borderId="15" xfId="0" applyNumberFormat="1" applyFont="1" applyBorder="1" applyAlignment="1">
      <alignment horizontal="center"/>
    </xf>
    <xf numFmtId="164" fontId="8" fillId="2" borderId="15" xfId="0" applyNumberFormat="1" applyFont="1" applyFill="1" applyBorder="1" applyAlignment="1">
      <alignment horizontal="center"/>
    </xf>
    <xf numFmtId="0" fontId="1" fillId="0" borderId="16" xfId="0" applyFont="1" applyBorder="1"/>
    <xf numFmtId="0" fontId="3" fillId="2" borderId="17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/>
    </xf>
    <xf numFmtId="0" fontId="6" fillId="2" borderId="5" xfId="0" applyNumberFormat="1" applyFont="1" applyFill="1" applyBorder="1" applyAlignment="1"/>
    <xf numFmtId="0" fontId="1" fillId="0" borderId="18" xfId="0" applyFont="1" applyBorder="1" applyAlignment="1">
      <alignment horizontal="left"/>
    </xf>
    <xf numFmtId="0" fontId="1" fillId="0" borderId="15" xfId="0" applyFont="1" applyBorder="1" applyAlignment="1">
      <alignment horizontal="right"/>
    </xf>
    <xf numFmtId="0" fontId="1" fillId="0" borderId="16" xfId="0" applyFont="1" applyBorder="1" applyAlignment="1">
      <alignment horizontal="right"/>
    </xf>
    <xf numFmtId="0" fontId="3" fillId="4" borderId="1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1" fillId="0" borderId="10" xfId="0" applyFont="1" applyBorder="1" applyAlignment="1">
      <alignment horizontal="left"/>
    </xf>
    <xf numFmtId="20" fontId="8" fillId="2" borderId="10" xfId="0" applyNumberFormat="1" applyFont="1" applyFill="1" applyBorder="1" applyAlignment="1">
      <alignment horizontal="center"/>
    </xf>
    <xf numFmtId="0" fontId="1" fillId="0" borderId="5" xfId="0" applyFont="1" applyBorder="1" applyAlignment="1">
      <alignment horizontal="left"/>
    </xf>
    <xf numFmtId="20" fontId="8" fillId="2" borderId="6" xfId="0" applyNumberFormat="1" applyFont="1" applyFill="1" applyBorder="1" applyAlignment="1">
      <alignment horizontal="center"/>
    </xf>
    <xf numFmtId="0" fontId="1" fillId="0" borderId="5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1" fillId="0" borderId="8" xfId="0" applyFont="1" applyBorder="1"/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T55"/>
  <sheetViews>
    <sheetView topLeftCell="A6" workbookViewId="0">
      <selection activeCell="B37" sqref="B37:B40"/>
    </sheetView>
  </sheetViews>
  <sheetFormatPr defaultRowHeight="15" x14ac:dyDescent="0.25"/>
  <cols>
    <col min="1" max="1" width="4.140625" customWidth="1"/>
    <col min="2" max="2" width="32.140625" customWidth="1"/>
    <col min="3" max="3" width="16.7109375" customWidth="1"/>
    <col min="4" max="4" width="15.42578125" customWidth="1"/>
    <col min="5" max="5" width="14.7109375" customWidth="1"/>
    <col min="6" max="6" width="15.7109375" customWidth="1"/>
    <col min="7" max="7" width="14.5703125" customWidth="1"/>
    <col min="8" max="8" width="15.28515625" style="59" customWidth="1"/>
    <col min="9" max="9" width="14.7109375" customWidth="1"/>
    <col min="10" max="10" width="14.140625" customWidth="1"/>
    <col min="11" max="11" width="14.42578125" customWidth="1"/>
    <col min="12" max="12" width="14.5703125" customWidth="1"/>
    <col min="13" max="13" width="15.7109375" customWidth="1"/>
    <col min="14" max="14" width="14.5703125" customWidth="1"/>
    <col min="15" max="15" width="15" customWidth="1"/>
    <col min="16" max="16" width="14.5703125" customWidth="1"/>
    <col min="17" max="17" width="15.28515625" customWidth="1"/>
    <col min="18" max="18" width="15" customWidth="1"/>
    <col min="19" max="19" width="14.7109375" customWidth="1"/>
    <col min="20" max="20" width="11.140625" customWidth="1"/>
  </cols>
  <sheetData>
    <row r="3" spans="1:20" ht="15.75" x14ac:dyDescent="0.25">
      <c r="A3" s="1"/>
      <c r="B3" s="1"/>
      <c r="C3" s="1"/>
      <c r="D3" s="1"/>
      <c r="E3" s="1"/>
      <c r="F3" s="1"/>
      <c r="G3" s="1"/>
      <c r="H3" s="2"/>
      <c r="I3" s="1"/>
      <c r="J3" s="3" t="s">
        <v>19</v>
      </c>
      <c r="K3" s="3"/>
      <c r="L3" s="3"/>
      <c r="M3" s="3"/>
      <c r="N3" s="3"/>
      <c r="O3" s="3"/>
      <c r="P3" s="3"/>
      <c r="Q3" s="3"/>
      <c r="R3" s="3"/>
      <c r="S3" s="3"/>
    </row>
    <row r="4" spans="1:20" ht="16.5" thickBot="1" x14ac:dyDescent="0.3">
      <c r="A4" s="1"/>
      <c r="B4" s="1"/>
      <c r="C4" s="1"/>
      <c r="D4" s="1"/>
      <c r="E4" s="1"/>
      <c r="F4" s="1"/>
      <c r="G4" s="1"/>
      <c r="H4" s="2"/>
      <c r="I4" s="1"/>
    </row>
    <row r="5" spans="1:20" s="1" customFormat="1" ht="16.5" thickBot="1" x14ac:dyDescent="0.3">
      <c r="B5" s="4" t="s">
        <v>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6"/>
    </row>
    <row r="6" spans="1:20" s="1" customFormat="1" ht="15.75" x14ac:dyDescent="0.25">
      <c r="B6" s="7" t="s">
        <v>1</v>
      </c>
      <c r="C6" s="8">
        <v>14</v>
      </c>
      <c r="D6" s="9">
        <v>15</v>
      </c>
      <c r="E6" s="9">
        <v>16</v>
      </c>
      <c r="F6" s="9">
        <v>17</v>
      </c>
      <c r="G6" s="9">
        <v>18</v>
      </c>
      <c r="H6" s="9">
        <v>19</v>
      </c>
      <c r="I6" s="8">
        <v>20</v>
      </c>
      <c r="J6" s="8">
        <v>21</v>
      </c>
      <c r="K6" s="9">
        <v>22</v>
      </c>
      <c r="L6" s="9">
        <v>23</v>
      </c>
      <c r="M6" s="9">
        <v>24</v>
      </c>
      <c r="N6" s="9">
        <v>25</v>
      </c>
      <c r="O6" s="9">
        <v>26</v>
      </c>
      <c r="P6" s="9">
        <v>27</v>
      </c>
      <c r="Q6" s="9">
        <v>28</v>
      </c>
      <c r="R6" s="9">
        <v>29</v>
      </c>
      <c r="S6" s="9">
        <v>30</v>
      </c>
      <c r="T6" s="9">
        <v>31</v>
      </c>
    </row>
    <row r="7" spans="1:20" s="1" customFormat="1" ht="16.5" thickBot="1" x14ac:dyDescent="0.3">
      <c r="B7" s="11"/>
      <c r="C7" s="12" t="s">
        <v>2</v>
      </c>
      <c r="D7" s="13" t="s">
        <v>3</v>
      </c>
      <c r="E7" s="13" t="s">
        <v>4</v>
      </c>
      <c r="F7" s="13" t="s">
        <v>5</v>
      </c>
      <c r="G7" s="13" t="s">
        <v>6</v>
      </c>
      <c r="H7" s="14" t="s">
        <v>7</v>
      </c>
      <c r="I7" s="15" t="s">
        <v>8</v>
      </c>
      <c r="J7" s="12" t="s">
        <v>2</v>
      </c>
      <c r="K7" s="13" t="s">
        <v>3</v>
      </c>
      <c r="L7" s="13" t="s">
        <v>4</v>
      </c>
      <c r="M7" s="13" t="s">
        <v>5</v>
      </c>
      <c r="N7" s="13" t="s">
        <v>6</v>
      </c>
      <c r="O7" s="13" t="s">
        <v>7</v>
      </c>
      <c r="P7" s="15" t="s">
        <v>8</v>
      </c>
      <c r="Q7" s="12" t="s">
        <v>2</v>
      </c>
      <c r="R7" s="13" t="s">
        <v>3</v>
      </c>
      <c r="S7" s="16" t="s">
        <v>4</v>
      </c>
      <c r="T7" s="13" t="s">
        <v>5</v>
      </c>
    </row>
    <row r="8" spans="1:20" s="17" customFormat="1" ht="15.75" x14ac:dyDescent="0.25">
      <c r="B8" s="18" t="s">
        <v>9</v>
      </c>
      <c r="C8" s="19">
        <v>108</v>
      </c>
      <c r="D8" s="19">
        <v>108</v>
      </c>
      <c r="E8" s="19">
        <v>108</v>
      </c>
      <c r="F8" s="19">
        <v>108</v>
      </c>
      <c r="G8" s="19">
        <v>108</v>
      </c>
      <c r="H8" s="19">
        <v>108</v>
      </c>
      <c r="I8" s="19">
        <v>108</v>
      </c>
      <c r="J8" s="19">
        <v>108</v>
      </c>
      <c r="K8" s="19">
        <v>108</v>
      </c>
      <c r="L8" s="19">
        <v>108</v>
      </c>
      <c r="M8" s="19">
        <v>108</v>
      </c>
      <c r="N8" s="19">
        <v>108</v>
      </c>
      <c r="O8" s="19">
        <v>108</v>
      </c>
      <c r="P8" s="19">
        <v>108</v>
      </c>
      <c r="Q8" s="19">
        <v>108</v>
      </c>
      <c r="R8" s="19">
        <v>108</v>
      </c>
      <c r="S8" s="19">
        <v>108</v>
      </c>
      <c r="T8" s="19">
        <v>108</v>
      </c>
    </row>
    <row r="9" spans="1:20" s="17" customFormat="1" ht="15.75" x14ac:dyDescent="0.25">
      <c r="B9" s="22" t="s">
        <v>10</v>
      </c>
      <c r="C9" s="23">
        <v>0.22916666666666666</v>
      </c>
      <c r="D9" s="23">
        <v>0.22916666666666666</v>
      </c>
      <c r="E9" s="23">
        <v>0.22916666666666666</v>
      </c>
      <c r="F9" s="23">
        <v>0.22916666666666666</v>
      </c>
      <c r="G9" s="23">
        <v>0.22916666666666666</v>
      </c>
      <c r="H9" s="23">
        <v>0.22916666666666666</v>
      </c>
      <c r="I9" s="23">
        <v>0.22916666666666666</v>
      </c>
      <c r="J9" s="23">
        <v>0.22916666666666666</v>
      </c>
      <c r="K9" s="23">
        <v>0.22916666666666666</v>
      </c>
      <c r="L9" s="23">
        <v>0.22916666666666666</v>
      </c>
      <c r="M9" s="23">
        <v>0.22916666666666666</v>
      </c>
      <c r="N9" s="23">
        <v>0.22916666666666666</v>
      </c>
      <c r="O9" s="23">
        <v>0.22916666666666666</v>
      </c>
      <c r="P9" s="23">
        <v>0.22916666666666666</v>
      </c>
      <c r="Q9" s="23">
        <v>0.22916666666666666</v>
      </c>
      <c r="R9" s="23">
        <v>0.22916666666666666</v>
      </c>
      <c r="S9" s="23">
        <v>0.22916666666666666</v>
      </c>
      <c r="T9" s="23">
        <v>0.22916666666666666</v>
      </c>
    </row>
    <row r="10" spans="1:20" s="25" customFormat="1" ht="15.75" x14ac:dyDescent="0.25">
      <c r="B10" s="26" t="s">
        <v>11</v>
      </c>
      <c r="C10" s="27">
        <v>107</v>
      </c>
      <c r="D10" s="27">
        <v>107</v>
      </c>
      <c r="E10" s="27">
        <v>107</v>
      </c>
      <c r="F10" s="27">
        <v>107</v>
      </c>
      <c r="G10" s="27">
        <v>107</v>
      </c>
      <c r="H10" s="27">
        <v>107</v>
      </c>
      <c r="I10" s="27">
        <v>107</v>
      </c>
      <c r="J10" s="27">
        <v>107</v>
      </c>
      <c r="K10" s="27">
        <v>107</v>
      </c>
      <c r="L10" s="27">
        <v>107</v>
      </c>
      <c r="M10" s="27">
        <v>107</v>
      </c>
      <c r="N10" s="27">
        <v>107</v>
      </c>
      <c r="O10" s="27">
        <v>107</v>
      </c>
      <c r="P10" s="27">
        <v>107</v>
      </c>
      <c r="Q10" s="27">
        <v>107</v>
      </c>
      <c r="R10" s="27">
        <v>107</v>
      </c>
      <c r="S10" s="27">
        <v>107</v>
      </c>
      <c r="T10" s="27">
        <v>107</v>
      </c>
    </row>
    <row r="11" spans="1:20" s="25" customFormat="1" ht="15.75" x14ac:dyDescent="0.25">
      <c r="B11" s="22" t="s">
        <v>12</v>
      </c>
      <c r="C11" s="23">
        <v>0.80208333333333337</v>
      </c>
      <c r="D11" s="23">
        <v>0.80208333333333337</v>
      </c>
      <c r="E11" s="23">
        <v>0.80208333333333337</v>
      </c>
      <c r="F11" s="23">
        <v>0.80208333333333337</v>
      </c>
      <c r="G11" s="23">
        <v>0.80208333333333337</v>
      </c>
      <c r="H11" s="23">
        <v>0.80208333333333337</v>
      </c>
      <c r="I11" s="23">
        <v>0.80208333333333337</v>
      </c>
      <c r="J11" s="23">
        <v>0.80208333333333337</v>
      </c>
      <c r="K11" s="23">
        <v>0.80208333333333337</v>
      </c>
      <c r="L11" s="23">
        <v>0.80208333333333337</v>
      </c>
      <c r="M11" s="23">
        <v>0.80208333333333337</v>
      </c>
      <c r="N11" s="23">
        <v>0.80208333333333337</v>
      </c>
      <c r="O11" s="23">
        <v>0.80208333333333337</v>
      </c>
      <c r="P11" s="23">
        <v>0.80208333333333337</v>
      </c>
      <c r="Q11" s="23">
        <v>0.80208333333333337</v>
      </c>
      <c r="R11" s="23">
        <v>0.80208333333333337</v>
      </c>
      <c r="S11" s="23">
        <v>0.80208333333333337</v>
      </c>
      <c r="T11" s="23">
        <v>0.80208333333333337</v>
      </c>
    </row>
    <row r="12" spans="1:20" s="25" customFormat="1" ht="16.5" thickBot="1" x14ac:dyDescent="0.3">
      <c r="B12" s="29" t="s">
        <v>13</v>
      </c>
      <c r="C12" s="30">
        <f t="shared" ref="C12:S12" si="0">C11-C9</f>
        <v>0.57291666666666674</v>
      </c>
      <c r="D12" s="30">
        <f t="shared" ref="D12:T12" si="1">D11-D9</f>
        <v>0.57291666666666674</v>
      </c>
      <c r="E12" s="30">
        <f t="shared" si="1"/>
        <v>0.57291666666666674</v>
      </c>
      <c r="F12" s="30">
        <f t="shared" si="1"/>
        <v>0.57291666666666674</v>
      </c>
      <c r="G12" s="30">
        <f t="shared" si="1"/>
        <v>0.57291666666666674</v>
      </c>
      <c r="H12" s="30">
        <f t="shared" si="1"/>
        <v>0.57291666666666674</v>
      </c>
      <c r="I12" s="30">
        <f t="shared" si="1"/>
        <v>0.57291666666666674</v>
      </c>
      <c r="J12" s="30">
        <f t="shared" si="1"/>
        <v>0.57291666666666674</v>
      </c>
      <c r="K12" s="30">
        <f t="shared" si="1"/>
        <v>0.57291666666666674</v>
      </c>
      <c r="L12" s="30">
        <f t="shared" si="1"/>
        <v>0.57291666666666674</v>
      </c>
      <c r="M12" s="30">
        <f t="shared" si="1"/>
        <v>0.57291666666666674</v>
      </c>
      <c r="N12" s="30">
        <f t="shared" si="1"/>
        <v>0.57291666666666674</v>
      </c>
      <c r="O12" s="30">
        <f t="shared" si="1"/>
        <v>0.57291666666666674</v>
      </c>
      <c r="P12" s="30">
        <f t="shared" si="1"/>
        <v>0.57291666666666674</v>
      </c>
      <c r="Q12" s="30">
        <f t="shared" si="1"/>
        <v>0.57291666666666674</v>
      </c>
      <c r="R12" s="30">
        <f t="shared" si="1"/>
        <v>0.57291666666666674</v>
      </c>
      <c r="S12" s="30">
        <f t="shared" si="1"/>
        <v>0.57291666666666674</v>
      </c>
      <c r="T12" s="30">
        <f t="shared" si="1"/>
        <v>0.57291666666666674</v>
      </c>
    </row>
    <row r="13" spans="1:20" s="17" customFormat="1" ht="15.75" x14ac:dyDescent="0.25">
      <c r="B13" s="18" t="s">
        <v>9</v>
      </c>
      <c r="C13" s="19">
        <v>74</v>
      </c>
      <c r="D13" s="32"/>
      <c r="E13" s="19">
        <v>74</v>
      </c>
      <c r="F13" s="32"/>
      <c r="G13" s="19">
        <v>74</v>
      </c>
      <c r="H13" s="32"/>
      <c r="I13" s="19">
        <v>74</v>
      </c>
      <c r="J13" s="32"/>
      <c r="K13" s="19">
        <v>74</v>
      </c>
      <c r="L13" s="32"/>
      <c r="M13" s="19">
        <v>74</v>
      </c>
      <c r="N13" s="32"/>
      <c r="O13" s="19">
        <v>74</v>
      </c>
      <c r="P13" s="32"/>
      <c r="Q13" s="19">
        <v>74</v>
      </c>
      <c r="R13" s="32"/>
      <c r="S13" s="19">
        <v>74</v>
      </c>
      <c r="T13" s="64"/>
    </row>
    <row r="14" spans="1:20" s="17" customFormat="1" ht="15.75" x14ac:dyDescent="0.25">
      <c r="B14" s="22" t="s">
        <v>10</v>
      </c>
      <c r="C14" s="23">
        <v>0.60069444444444442</v>
      </c>
      <c r="D14" s="33"/>
      <c r="E14" s="23">
        <v>0.60069444444444442</v>
      </c>
      <c r="F14" s="33"/>
      <c r="G14" s="23">
        <v>0.60069444444444442</v>
      </c>
      <c r="H14" s="33"/>
      <c r="I14" s="23">
        <v>0.60069444444444442</v>
      </c>
      <c r="J14" s="33"/>
      <c r="K14" s="23">
        <v>0.60069444444444442</v>
      </c>
      <c r="L14" s="33"/>
      <c r="M14" s="23">
        <v>0.60069444444444442</v>
      </c>
      <c r="N14" s="33"/>
      <c r="O14" s="23">
        <v>0.60069444444444442</v>
      </c>
      <c r="P14" s="33"/>
      <c r="Q14" s="23">
        <v>0.60069444444444442</v>
      </c>
      <c r="R14" s="33"/>
      <c r="S14" s="23">
        <v>0.95694444444444438</v>
      </c>
      <c r="T14" s="65"/>
    </row>
    <row r="15" spans="1:20" s="17" customFormat="1" ht="15.75" x14ac:dyDescent="0.25">
      <c r="B15" s="26" t="s">
        <v>11</v>
      </c>
      <c r="C15" s="35">
        <v>73</v>
      </c>
      <c r="D15" s="34"/>
      <c r="E15" s="35">
        <v>73</v>
      </c>
      <c r="F15" s="34"/>
      <c r="G15" s="35">
        <v>73</v>
      </c>
      <c r="H15" s="34"/>
      <c r="I15" s="35">
        <v>73</v>
      </c>
      <c r="J15" s="34"/>
      <c r="K15" s="35">
        <v>73</v>
      </c>
      <c r="L15" s="34"/>
      <c r="M15" s="35">
        <v>73</v>
      </c>
      <c r="N15" s="34"/>
      <c r="O15" s="35">
        <v>73</v>
      </c>
      <c r="P15" s="34"/>
      <c r="Q15" s="35">
        <v>73</v>
      </c>
      <c r="R15" s="34"/>
      <c r="S15" s="33"/>
      <c r="T15" s="65"/>
    </row>
    <row r="16" spans="1:20" s="25" customFormat="1" ht="15.75" x14ac:dyDescent="0.25">
      <c r="B16" s="22" t="s">
        <v>12</v>
      </c>
      <c r="C16" s="23">
        <v>0.70833333333333337</v>
      </c>
      <c r="D16" s="37"/>
      <c r="E16" s="23">
        <v>0.70833333333333337</v>
      </c>
      <c r="F16" s="37"/>
      <c r="G16" s="23">
        <v>0.70833333333333337</v>
      </c>
      <c r="H16" s="37"/>
      <c r="I16" s="23">
        <v>0.70833333333333337</v>
      </c>
      <c r="J16" s="37"/>
      <c r="K16" s="23">
        <v>0.70833333333333337</v>
      </c>
      <c r="L16" s="37"/>
      <c r="M16" s="23">
        <v>0.70833333333333337</v>
      </c>
      <c r="N16" s="37"/>
      <c r="O16" s="23">
        <v>0.70833333333333337</v>
      </c>
      <c r="P16" s="37"/>
      <c r="Q16" s="23">
        <v>0.70833333333333337</v>
      </c>
      <c r="R16" s="37"/>
      <c r="S16" s="33"/>
      <c r="T16" s="66"/>
    </row>
    <row r="17" spans="2:20" s="25" customFormat="1" ht="16.5" thickBot="1" x14ac:dyDescent="0.3">
      <c r="B17" s="29" t="s">
        <v>13</v>
      </c>
      <c r="C17" s="70">
        <f>(C16-C14)+24</f>
        <v>24.107638888888889</v>
      </c>
      <c r="D17" s="77"/>
      <c r="E17" s="70">
        <f>(E16-E14)+24</f>
        <v>24.107638888888889</v>
      </c>
      <c r="F17" s="77"/>
      <c r="G17" s="70">
        <f>(G16-G14)+24</f>
        <v>24.107638888888889</v>
      </c>
      <c r="H17" s="77"/>
      <c r="I17" s="70">
        <f>(I16-I14)+24</f>
        <v>24.107638888888889</v>
      </c>
      <c r="J17" s="77"/>
      <c r="K17" s="70">
        <f>(K16-K14)+24</f>
        <v>24.107638888888889</v>
      </c>
      <c r="L17" s="77"/>
      <c r="M17" s="70">
        <f>(M16-M14)+24</f>
        <v>24.107638888888889</v>
      </c>
      <c r="N17" s="77"/>
      <c r="O17" s="70">
        <f>(O16-O14)+24</f>
        <v>24.107638888888889</v>
      </c>
      <c r="P17" s="77"/>
      <c r="Q17" s="70">
        <f>(Q16-Q14)+24</f>
        <v>24.107638888888889</v>
      </c>
      <c r="R17" s="77"/>
      <c r="S17" s="30"/>
      <c r="T17" s="78"/>
    </row>
    <row r="18" spans="2:20" s="25" customFormat="1" ht="15.75" x14ac:dyDescent="0.25">
      <c r="B18" s="18" t="s">
        <v>9</v>
      </c>
      <c r="C18" s="19">
        <v>610</v>
      </c>
      <c r="D18" s="87"/>
      <c r="E18" s="19">
        <v>610</v>
      </c>
      <c r="F18" s="87"/>
      <c r="G18" s="19">
        <v>610</v>
      </c>
      <c r="H18" s="87"/>
      <c r="I18" s="19">
        <v>610</v>
      </c>
      <c r="J18" s="87"/>
      <c r="K18" s="19">
        <v>610</v>
      </c>
      <c r="L18" s="87"/>
      <c r="M18" s="19">
        <v>610</v>
      </c>
      <c r="N18" s="87"/>
      <c r="O18" s="19">
        <v>610</v>
      </c>
      <c r="P18" s="87"/>
      <c r="Q18" s="19">
        <v>610</v>
      </c>
      <c r="R18" s="87"/>
      <c r="S18" s="19">
        <v>610</v>
      </c>
      <c r="T18" s="88"/>
    </row>
    <row r="19" spans="2:20" s="25" customFormat="1" ht="15.75" x14ac:dyDescent="0.25">
      <c r="B19" s="22" t="s">
        <v>10</v>
      </c>
      <c r="C19" s="23">
        <v>0.29652777777777778</v>
      </c>
      <c r="D19" s="37"/>
      <c r="E19" s="23">
        <v>0.29652777777777778</v>
      </c>
      <c r="F19" s="37"/>
      <c r="G19" s="23">
        <v>0.29652777777777778</v>
      </c>
      <c r="H19" s="37"/>
      <c r="I19" s="23">
        <v>0.29652777777777778</v>
      </c>
      <c r="J19" s="37"/>
      <c r="K19" s="23">
        <v>0.29652777777777778</v>
      </c>
      <c r="L19" s="37"/>
      <c r="M19" s="23">
        <v>0.29652777777777778</v>
      </c>
      <c r="N19" s="37"/>
      <c r="O19" s="23">
        <v>0.29652777777777778</v>
      </c>
      <c r="P19" s="37"/>
      <c r="Q19" s="23">
        <v>0.29652777777777778</v>
      </c>
      <c r="R19" s="37"/>
      <c r="S19" s="23">
        <v>0.29652777777777778</v>
      </c>
      <c r="T19" s="66"/>
    </row>
    <row r="20" spans="2:20" s="25" customFormat="1" ht="15.75" x14ac:dyDescent="0.25">
      <c r="B20" s="26" t="s">
        <v>11</v>
      </c>
      <c r="C20" s="44">
        <v>609</v>
      </c>
      <c r="D20" s="37"/>
      <c r="E20" s="44">
        <v>609</v>
      </c>
      <c r="F20" s="37"/>
      <c r="G20" s="44">
        <v>609</v>
      </c>
      <c r="H20" s="37"/>
      <c r="I20" s="44">
        <v>609</v>
      </c>
      <c r="J20" s="37"/>
      <c r="K20" s="44">
        <v>609</v>
      </c>
      <c r="L20" s="37"/>
      <c r="M20" s="44">
        <v>609</v>
      </c>
      <c r="N20" s="37"/>
      <c r="O20" s="44">
        <v>609</v>
      </c>
      <c r="P20" s="37"/>
      <c r="Q20" s="44">
        <v>609</v>
      </c>
      <c r="R20" s="37"/>
      <c r="S20" s="44">
        <v>609</v>
      </c>
      <c r="T20" s="66"/>
    </row>
    <row r="21" spans="2:20" s="25" customFormat="1" ht="15.75" x14ac:dyDescent="0.25">
      <c r="B21" s="22" t="s">
        <v>12</v>
      </c>
      <c r="C21" s="23">
        <v>0.86458333333333337</v>
      </c>
      <c r="D21" s="37"/>
      <c r="E21" s="23">
        <v>0.86458333333333337</v>
      </c>
      <c r="F21" s="37"/>
      <c r="G21" s="23">
        <v>0.86458333333333337</v>
      </c>
      <c r="H21" s="37"/>
      <c r="I21" s="23">
        <v>0.86458333333333337</v>
      </c>
      <c r="J21" s="37"/>
      <c r="K21" s="23">
        <v>0.86458333333333337</v>
      </c>
      <c r="L21" s="37"/>
      <c r="M21" s="23">
        <v>0.86458333333333337</v>
      </c>
      <c r="N21" s="37"/>
      <c r="O21" s="23">
        <v>0.86458333333333337</v>
      </c>
      <c r="P21" s="37"/>
      <c r="Q21" s="23">
        <v>0.86458333333333337</v>
      </c>
      <c r="R21" s="37"/>
      <c r="S21" s="23">
        <v>0.86458333333333337</v>
      </c>
      <c r="T21" s="66"/>
    </row>
    <row r="22" spans="2:20" s="25" customFormat="1" ht="16.5" thickBot="1" x14ac:dyDescent="0.3">
      <c r="B22" s="38" t="s">
        <v>13</v>
      </c>
      <c r="C22" s="41">
        <f t="shared" ref="C22:E22" si="2">C21-C19</f>
        <v>0.56805555555555554</v>
      </c>
      <c r="D22" s="39"/>
      <c r="E22" s="41">
        <f t="shared" ref="E22" si="3">E21-E19</f>
        <v>0.56805555555555554</v>
      </c>
      <c r="F22" s="39"/>
      <c r="G22" s="41">
        <f t="shared" ref="G22" si="4">G21-G19</f>
        <v>0.56805555555555554</v>
      </c>
      <c r="H22" s="39"/>
      <c r="I22" s="41">
        <f t="shared" ref="I22" si="5">I21-I19</f>
        <v>0.56805555555555554</v>
      </c>
      <c r="J22" s="39"/>
      <c r="K22" s="41">
        <f t="shared" ref="K22" si="6">K21-K19</f>
        <v>0.56805555555555554</v>
      </c>
      <c r="L22" s="39"/>
      <c r="M22" s="41">
        <f t="shared" ref="M22" si="7">M21-M19</f>
        <v>0.56805555555555554</v>
      </c>
      <c r="N22" s="39"/>
      <c r="O22" s="41">
        <f t="shared" ref="O22" si="8">O21-O19</f>
        <v>0.56805555555555554</v>
      </c>
      <c r="P22" s="39"/>
      <c r="Q22" s="41">
        <f t="shared" ref="Q22" si="9">Q21-Q19</f>
        <v>0.56805555555555554</v>
      </c>
      <c r="R22" s="39"/>
      <c r="S22" s="41">
        <f t="shared" ref="S22" si="10">S21-S19</f>
        <v>0.56805555555555554</v>
      </c>
      <c r="T22" s="67"/>
    </row>
    <row r="23" spans="2:20" s="25" customFormat="1" ht="15.75" x14ac:dyDescent="0.25">
      <c r="B23" s="18" t="s">
        <v>9</v>
      </c>
      <c r="C23" s="19"/>
      <c r="D23" s="19">
        <v>66</v>
      </c>
      <c r="E23" s="19"/>
      <c r="F23" s="19">
        <v>66</v>
      </c>
      <c r="G23" s="19"/>
      <c r="H23" s="19">
        <v>66</v>
      </c>
      <c r="I23" s="19"/>
      <c r="J23" s="19">
        <v>66</v>
      </c>
      <c r="K23" s="19"/>
      <c r="L23" s="19">
        <v>66</v>
      </c>
      <c r="M23" s="19"/>
      <c r="N23" s="19">
        <v>66</v>
      </c>
      <c r="O23" s="19"/>
      <c r="P23" s="19">
        <v>66</v>
      </c>
      <c r="Q23" s="19"/>
      <c r="R23" s="19">
        <v>66</v>
      </c>
      <c r="S23" s="19"/>
      <c r="T23" s="21">
        <v>66</v>
      </c>
    </row>
    <row r="24" spans="2:20" s="25" customFormat="1" ht="15.75" x14ac:dyDescent="0.25">
      <c r="B24" s="22" t="s">
        <v>10</v>
      </c>
      <c r="C24" s="23"/>
      <c r="D24" s="23">
        <v>0.34652777777777777</v>
      </c>
      <c r="E24" s="23"/>
      <c r="F24" s="23">
        <v>0.34652777777777777</v>
      </c>
      <c r="G24" s="23"/>
      <c r="H24" s="23">
        <v>0.34652777777777777</v>
      </c>
      <c r="I24" s="23"/>
      <c r="J24" s="23">
        <v>0.34652777777777777</v>
      </c>
      <c r="K24" s="23"/>
      <c r="L24" s="23">
        <v>0.34652777777777777</v>
      </c>
      <c r="M24" s="23"/>
      <c r="N24" s="23">
        <v>0.34652777777777777</v>
      </c>
      <c r="O24" s="23"/>
      <c r="P24" s="23">
        <v>0.34652777777777777</v>
      </c>
      <c r="Q24" s="23"/>
      <c r="R24" s="23">
        <v>0.34652777777777777</v>
      </c>
      <c r="S24" s="23"/>
      <c r="T24" s="24">
        <v>0.34652777777777777</v>
      </c>
    </row>
    <row r="25" spans="2:20" s="25" customFormat="1" ht="15.75" x14ac:dyDescent="0.25">
      <c r="B25" s="26" t="s">
        <v>11</v>
      </c>
      <c r="C25" s="44"/>
      <c r="D25" s="35" t="s">
        <v>14</v>
      </c>
      <c r="E25" s="44"/>
      <c r="F25" s="35" t="s">
        <v>14</v>
      </c>
      <c r="G25" s="44"/>
      <c r="H25" s="35" t="s">
        <v>14</v>
      </c>
      <c r="I25" s="44"/>
      <c r="J25" s="35" t="s">
        <v>14</v>
      </c>
      <c r="K25" s="44"/>
      <c r="L25" s="35" t="s">
        <v>14</v>
      </c>
      <c r="M25" s="44"/>
      <c r="N25" s="35" t="s">
        <v>14</v>
      </c>
      <c r="O25" s="44"/>
      <c r="P25" s="35" t="s">
        <v>14</v>
      </c>
      <c r="Q25" s="44"/>
      <c r="R25" s="35" t="s">
        <v>14</v>
      </c>
      <c r="S25" s="44"/>
      <c r="T25" s="46" t="s">
        <v>14</v>
      </c>
    </row>
    <row r="26" spans="2:20" s="25" customFormat="1" ht="15.75" x14ac:dyDescent="0.25">
      <c r="B26" s="22" t="s">
        <v>12</v>
      </c>
      <c r="C26" s="23"/>
      <c r="D26" s="23">
        <v>0.36388888888888887</v>
      </c>
      <c r="E26" s="23"/>
      <c r="F26" s="23">
        <v>0.36388888888888887</v>
      </c>
      <c r="G26" s="23"/>
      <c r="H26" s="23">
        <v>0.36388888888888887</v>
      </c>
      <c r="I26" s="23"/>
      <c r="J26" s="23">
        <v>0.36388888888888887</v>
      </c>
      <c r="K26" s="23"/>
      <c r="L26" s="23">
        <v>0.36388888888888887</v>
      </c>
      <c r="M26" s="23"/>
      <c r="N26" s="23">
        <v>0.36388888888888887</v>
      </c>
      <c r="O26" s="23"/>
      <c r="P26" s="23">
        <v>0.36388888888888887</v>
      </c>
      <c r="Q26" s="23"/>
      <c r="R26" s="23">
        <v>0.36388888888888887</v>
      </c>
      <c r="S26" s="23"/>
      <c r="T26" s="24">
        <v>0.36388888888888887</v>
      </c>
    </row>
    <row r="27" spans="2:20" s="25" customFormat="1" ht="16.5" thickBot="1" x14ac:dyDescent="0.3">
      <c r="B27" s="38" t="s">
        <v>13</v>
      </c>
      <c r="C27" s="41"/>
      <c r="D27" s="41">
        <f t="shared" ref="D27" si="11">D26-D24</f>
        <v>1.7361111111111105E-2</v>
      </c>
      <c r="E27" s="41"/>
      <c r="F27" s="41">
        <f t="shared" ref="F27" si="12">F26-F24</f>
        <v>1.7361111111111105E-2</v>
      </c>
      <c r="G27" s="41"/>
      <c r="H27" s="41">
        <f t="shared" ref="H27" si="13">H26-H24</f>
        <v>1.7361111111111105E-2</v>
      </c>
      <c r="I27" s="41"/>
      <c r="J27" s="41">
        <f t="shared" ref="J27" si="14">J26-J24</f>
        <v>1.7361111111111105E-2</v>
      </c>
      <c r="K27" s="41"/>
      <c r="L27" s="41">
        <f t="shared" ref="L27" si="15">L26-L24</f>
        <v>1.7361111111111105E-2</v>
      </c>
      <c r="M27" s="41"/>
      <c r="N27" s="41">
        <f t="shared" ref="N27" si="16">N26-N24</f>
        <v>1.7361111111111105E-2</v>
      </c>
      <c r="O27" s="41"/>
      <c r="P27" s="41">
        <f t="shared" ref="P27" si="17">P26-P24</f>
        <v>1.7361111111111105E-2</v>
      </c>
      <c r="Q27" s="41"/>
      <c r="R27" s="41">
        <f t="shared" ref="R27" si="18">R26-R24</f>
        <v>1.7361111111111105E-2</v>
      </c>
      <c r="S27" s="41"/>
      <c r="T27" s="42">
        <f t="shared" ref="T27" si="19">T26-T24</f>
        <v>1.7361111111111105E-2</v>
      </c>
    </row>
    <row r="28" spans="2:20" s="25" customFormat="1" ht="15.75" x14ac:dyDescent="0.25">
      <c r="B28" s="43" t="s">
        <v>9</v>
      </c>
      <c r="C28" s="84"/>
      <c r="D28" s="84"/>
      <c r="E28" s="84"/>
      <c r="F28" s="63">
        <v>65</v>
      </c>
      <c r="G28" s="84"/>
      <c r="H28" s="63">
        <v>65</v>
      </c>
      <c r="I28" s="84"/>
      <c r="J28" s="63">
        <v>65</v>
      </c>
      <c r="K28" s="84"/>
      <c r="L28" s="63">
        <v>65</v>
      </c>
      <c r="M28" s="84"/>
      <c r="N28" s="63">
        <v>65</v>
      </c>
      <c r="O28" s="84"/>
      <c r="P28" s="63">
        <v>65</v>
      </c>
      <c r="Q28" s="84"/>
      <c r="R28" s="63">
        <v>65</v>
      </c>
      <c r="S28" s="84"/>
      <c r="T28" s="68">
        <v>65</v>
      </c>
    </row>
    <row r="29" spans="2:20" s="25" customFormat="1" ht="15.75" x14ac:dyDescent="0.25">
      <c r="B29" s="22" t="s">
        <v>10</v>
      </c>
      <c r="C29" s="33"/>
      <c r="D29" s="33"/>
      <c r="E29" s="33"/>
      <c r="F29" s="23">
        <v>1.1111111111111112E-2</v>
      </c>
      <c r="G29" s="33"/>
      <c r="H29" s="23">
        <v>1.1111111111111112E-2</v>
      </c>
      <c r="I29" s="33"/>
      <c r="J29" s="23">
        <v>1.1111111111111112E-2</v>
      </c>
      <c r="K29" s="33"/>
      <c r="L29" s="23">
        <v>1.1111111111111112E-2</v>
      </c>
      <c r="M29" s="33"/>
      <c r="N29" s="23">
        <v>1.1111111111111112E-2</v>
      </c>
      <c r="O29" s="33"/>
      <c r="P29" s="23">
        <v>1.1111111111111112E-2</v>
      </c>
      <c r="Q29" s="33"/>
      <c r="R29" s="23">
        <v>1.1111111111111112E-2</v>
      </c>
      <c r="S29" s="33"/>
      <c r="T29" s="24">
        <v>1.1111111111111112E-2</v>
      </c>
    </row>
    <row r="30" spans="2:20" s="25" customFormat="1" ht="15.75" x14ac:dyDescent="0.25">
      <c r="B30" s="26" t="s">
        <v>11</v>
      </c>
      <c r="C30" s="33"/>
      <c r="D30" s="33"/>
      <c r="E30" s="33"/>
      <c r="F30" s="35" t="s">
        <v>14</v>
      </c>
      <c r="G30" s="33"/>
      <c r="H30" s="35" t="s">
        <v>14</v>
      </c>
      <c r="I30" s="33"/>
      <c r="J30" s="35" t="s">
        <v>14</v>
      </c>
      <c r="K30" s="33"/>
      <c r="L30" s="35" t="s">
        <v>14</v>
      </c>
      <c r="M30" s="33"/>
      <c r="N30" s="35" t="s">
        <v>14</v>
      </c>
      <c r="O30" s="33"/>
      <c r="P30" s="35" t="s">
        <v>14</v>
      </c>
      <c r="Q30" s="33"/>
      <c r="R30" s="35" t="s">
        <v>14</v>
      </c>
      <c r="S30" s="33"/>
      <c r="T30" s="46" t="s">
        <v>14</v>
      </c>
    </row>
    <row r="31" spans="2:20" s="25" customFormat="1" ht="15.75" x14ac:dyDescent="0.25">
      <c r="B31" s="22" t="s">
        <v>12</v>
      </c>
      <c r="C31" s="33"/>
      <c r="D31" s="33"/>
      <c r="E31" s="33"/>
      <c r="F31" s="23">
        <v>2.8472222222222222E-2</v>
      </c>
      <c r="G31" s="33"/>
      <c r="H31" s="23">
        <v>2.8472222222222222E-2</v>
      </c>
      <c r="I31" s="33"/>
      <c r="J31" s="23">
        <v>2.8472222222222222E-2</v>
      </c>
      <c r="K31" s="33"/>
      <c r="L31" s="23">
        <v>2.8472222222222222E-2</v>
      </c>
      <c r="M31" s="33"/>
      <c r="N31" s="23">
        <v>2.8472222222222222E-2</v>
      </c>
      <c r="O31" s="33"/>
      <c r="P31" s="23">
        <v>2.8472222222222222E-2</v>
      </c>
      <c r="Q31" s="33"/>
      <c r="R31" s="23">
        <v>2.8472222222222222E-2</v>
      </c>
      <c r="S31" s="33"/>
      <c r="T31" s="24">
        <v>2.8472222222222222E-2</v>
      </c>
    </row>
    <row r="32" spans="2:20" s="25" customFormat="1" ht="16.5" thickBot="1" x14ac:dyDescent="0.3">
      <c r="B32" s="38" t="s">
        <v>13</v>
      </c>
      <c r="C32" s="41"/>
      <c r="D32" s="41"/>
      <c r="E32" s="41"/>
      <c r="F32" s="41">
        <f>F31-F29</f>
        <v>1.7361111111111112E-2</v>
      </c>
      <c r="G32" s="41"/>
      <c r="H32" s="41">
        <f t="shared" ref="H32" si="20">H31-H29</f>
        <v>1.7361111111111112E-2</v>
      </c>
      <c r="I32" s="41"/>
      <c r="J32" s="41">
        <f t="shared" ref="J32" si="21">J31-J29</f>
        <v>1.7361111111111112E-2</v>
      </c>
      <c r="K32" s="41"/>
      <c r="L32" s="41">
        <f t="shared" ref="L32" si="22">L31-L29</f>
        <v>1.7361111111111112E-2</v>
      </c>
      <c r="M32" s="41"/>
      <c r="N32" s="41">
        <f t="shared" ref="N32" si="23">N31-N29</f>
        <v>1.7361111111111112E-2</v>
      </c>
      <c r="O32" s="41"/>
      <c r="P32" s="41">
        <f t="shared" ref="P32" si="24">P31-P29</f>
        <v>1.7361111111111112E-2</v>
      </c>
      <c r="Q32" s="41"/>
      <c r="R32" s="41">
        <f t="shared" ref="R32" si="25">R31-R29</f>
        <v>1.7361111111111112E-2</v>
      </c>
      <c r="S32" s="41"/>
      <c r="T32" s="42">
        <f t="shared" ref="T32" si="26">T31-T29</f>
        <v>1.7361111111111112E-2</v>
      </c>
    </row>
    <row r="33" spans="2:20" s="17" customFormat="1" ht="15.75" customHeight="1" x14ac:dyDescent="0.25">
      <c r="B33" s="43" t="s">
        <v>9</v>
      </c>
      <c r="C33" s="20">
        <v>118</v>
      </c>
      <c r="D33" s="20"/>
      <c r="E33" s="20">
        <v>118</v>
      </c>
      <c r="F33" s="20"/>
      <c r="G33" s="20">
        <v>118</v>
      </c>
      <c r="H33" s="20"/>
      <c r="I33" s="20">
        <v>118</v>
      </c>
      <c r="J33" s="20"/>
      <c r="K33" s="20">
        <v>118</v>
      </c>
      <c r="L33" s="20"/>
      <c r="M33" s="20">
        <v>118</v>
      </c>
      <c r="N33" s="20"/>
      <c r="O33" s="20">
        <v>118</v>
      </c>
      <c r="P33" s="20"/>
      <c r="Q33" s="20">
        <v>118</v>
      </c>
      <c r="R33" s="20"/>
      <c r="S33" s="20">
        <v>118</v>
      </c>
      <c r="T33" s="76"/>
    </row>
    <row r="34" spans="2:20" s="17" customFormat="1" ht="15.75" x14ac:dyDescent="0.25">
      <c r="B34" s="22" t="s">
        <v>10</v>
      </c>
      <c r="C34" s="23">
        <v>0.54375000000000007</v>
      </c>
      <c r="D34" s="23"/>
      <c r="E34" s="23">
        <v>0.54375000000000007</v>
      </c>
      <c r="F34" s="23"/>
      <c r="G34" s="23">
        <v>0.54375000000000007</v>
      </c>
      <c r="H34" s="23"/>
      <c r="I34" s="23">
        <v>0.54375000000000007</v>
      </c>
      <c r="J34" s="23"/>
      <c r="K34" s="23">
        <v>0.54375000000000007</v>
      </c>
      <c r="L34" s="23"/>
      <c r="M34" s="23">
        <v>0.54375000000000007</v>
      </c>
      <c r="N34" s="23"/>
      <c r="O34" s="23">
        <v>0.54375000000000007</v>
      </c>
      <c r="P34" s="23"/>
      <c r="Q34" s="23">
        <v>0.54375000000000007</v>
      </c>
      <c r="R34" s="23"/>
      <c r="S34" s="23">
        <v>0.54375000000000007</v>
      </c>
      <c r="T34" s="65"/>
    </row>
    <row r="35" spans="2:20" s="17" customFormat="1" ht="15.75" x14ac:dyDescent="0.25">
      <c r="B35" s="26" t="s">
        <v>11</v>
      </c>
      <c r="C35" s="35" t="s">
        <v>14</v>
      </c>
      <c r="D35" s="35"/>
      <c r="E35" s="35" t="s">
        <v>14</v>
      </c>
      <c r="F35" s="35"/>
      <c r="G35" s="35" t="s">
        <v>14</v>
      </c>
      <c r="H35" s="35"/>
      <c r="I35" s="35" t="s">
        <v>14</v>
      </c>
      <c r="J35" s="35"/>
      <c r="K35" s="35" t="s">
        <v>14</v>
      </c>
      <c r="L35" s="35"/>
      <c r="M35" s="35" t="s">
        <v>14</v>
      </c>
      <c r="N35" s="35"/>
      <c r="O35" s="35" t="s">
        <v>14</v>
      </c>
      <c r="P35" s="35"/>
      <c r="Q35" s="35" t="s">
        <v>14</v>
      </c>
      <c r="R35" s="35"/>
      <c r="S35" s="35" t="s">
        <v>14</v>
      </c>
      <c r="T35" s="65"/>
    </row>
    <row r="36" spans="2:20" s="17" customFormat="1" ht="15.75" x14ac:dyDescent="0.25">
      <c r="B36" s="22" t="s">
        <v>12</v>
      </c>
      <c r="C36" s="23">
        <v>0.56458333333333333</v>
      </c>
      <c r="D36" s="23"/>
      <c r="E36" s="23">
        <v>0.56458333333333333</v>
      </c>
      <c r="F36" s="23"/>
      <c r="G36" s="23">
        <v>0.56458333333333333</v>
      </c>
      <c r="H36" s="23"/>
      <c r="I36" s="23">
        <v>0.56458333333333333</v>
      </c>
      <c r="J36" s="23"/>
      <c r="K36" s="23">
        <v>0.56458333333333333</v>
      </c>
      <c r="L36" s="23"/>
      <c r="M36" s="23">
        <v>0.56458333333333333</v>
      </c>
      <c r="N36" s="23"/>
      <c r="O36" s="23">
        <v>0.56458333333333333</v>
      </c>
      <c r="P36" s="23"/>
      <c r="Q36" s="23">
        <v>0.56458333333333333</v>
      </c>
      <c r="R36" s="23"/>
      <c r="S36" s="23">
        <v>0.56458333333333333</v>
      </c>
      <c r="T36" s="65"/>
    </row>
    <row r="37" spans="2:20" s="1" customFormat="1" ht="16.5" thickBot="1" x14ac:dyDescent="0.3">
      <c r="B37" s="29" t="s">
        <v>13</v>
      </c>
      <c r="C37" s="70">
        <f t="shared" ref="C37" si="27">(C36-C34)+24</f>
        <v>24.020833333333332</v>
      </c>
      <c r="D37" s="70"/>
      <c r="E37" s="70">
        <f t="shared" ref="E37" si="28">(E36-E34)+24</f>
        <v>24.020833333333332</v>
      </c>
      <c r="F37" s="70"/>
      <c r="G37" s="70">
        <f t="shared" ref="G37" si="29">(G36-G34)+24</f>
        <v>24.020833333333332</v>
      </c>
      <c r="H37" s="71"/>
      <c r="I37" s="70">
        <f t="shared" ref="I37" si="30">(I36-I34)+24</f>
        <v>24.020833333333332</v>
      </c>
      <c r="J37" s="70"/>
      <c r="K37" s="70">
        <f t="shared" ref="K37" si="31">(K36-K34)+24</f>
        <v>24.020833333333332</v>
      </c>
      <c r="L37" s="70"/>
      <c r="M37" s="70">
        <f t="shared" ref="M37" si="32">(M36-M34)+24</f>
        <v>24.020833333333332</v>
      </c>
      <c r="N37" s="70"/>
      <c r="O37" s="70">
        <f t="shared" ref="O37" si="33">(O36-O34)+24</f>
        <v>24.020833333333332</v>
      </c>
      <c r="P37" s="70"/>
      <c r="Q37" s="70">
        <f t="shared" ref="Q37" si="34">(Q36-Q34)+24</f>
        <v>24.020833333333332</v>
      </c>
      <c r="R37" s="70"/>
      <c r="S37" s="70">
        <f t="shared" ref="S37" si="35">(S36-S34)+24</f>
        <v>24.020833333333332</v>
      </c>
      <c r="T37" s="72"/>
    </row>
    <row r="38" spans="2:20" s="17" customFormat="1" ht="15.75" x14ac:dyDescent="0.25">
      <c r="B38" s="18" t="s">
        <v>9</v>
      </c>
      <c r="C38" s="49">
        <v>117</v>
      </c>
      <c r="D38" s="75"/>
      <c r="E38" s="49">
        <v>117</v>
      </c>
      <c r="F38" s="75"/>
      <c r="G38" s="49">
        <v>117</v>
      </c>
      <c r="H38" s="75"/>
      <c r="I38" s="49">
        <v>117</v>
      </c>
      <c r="J38" s="75"/>
      <c r="K38" s="49">
        <v>117</v>
      </c>
      <c r="L38" s="75"/>
      <c r="M38" s="49">
        <v>117</v>
      </c>
      <c r="N38" s="75"/>
      <c r="O38" s="49">
        <v>117</v>
      </c>
      <c r="P38" s="75"/>
      <c r="Q38" s="49">
        <v>117</v>
      </c>
      <c r="R38" s="75"/>
      <c r="S38" s="49">
        <v>117</v>
      </c>
      <c r="T38" s="64"/>
    </row>
    <row r="39" spans="2:20" s="17" customFormat="1" ht="15.75" x14ac:dyDescent="0.25">
      <c r="B39" s="22" t="s">
        <v>10</v>
      </c>
      <c r="C39" s="23">
        <v>0.61527777777777781</v>
      </c>
      <c r="D39" s="51"/>
      <c r="E39" s="23">
        <v>0.61527777777777781</v>
      </c>
      <c r="F39" s="51"/>
      <c r="G39" s="23">
        <v>0.61527777777777781</v>
      </c>
      <c r="H39" s="51"/>
      <c r="I39" s="23">
        <v>0.61527777777777781</v>
      </c>
      <c r="J39" s="51"/>
      <c r="K39" s="23">
        <v>0.61527777777777781</v>
      </c>
      <c r="L39" s="51"/>
      <c r="M39" s="23">
        <v>0.61527777777777781</v>
      </c>
      <c r="N39" s="51"/>
      <c r="O39" s="23">
        <v>0.61527777777777781</v>
      </c>
      <c r="P39" s="51"/>
      <c r="Q39" s="23">
        <v>0.61527777777777781</v>
      </c>
      <c r="R39" s="51"/>
      <c r="S39" s="23">
        <v>0.61527777777777781</v>
      </c>
      <c r="T39" s="65"/>
    </row>
    <row r="40" spans="2:20" s="25" customFormat="1" ht="15.75" x14ac:dyDescent="0.25">
      <c r="B40" s="26" t="s">
        <v>11</v>
      </c>
      <c r="C40" s="35" t="s">
        <v>14</v>
      </c>
      <c r="D40" s="51"/>
      <c r="E40" s="35" t="s">
        <v>14</v>
      </c>
      <c r="F40" s="51"/>
      <c r="G40" s="35" t="s">
        <v>14</v>
      </c>
      <c r="H40" s="51"/>
      <c r="I40" s="35" t="s">
        <v>14</v>
      </c>
      <c r="J40" s="51"/>
      <c r="K40" s="35" t="s">
        <v>14</v>
      </c>
      <c r="L40" s="51"/>
      <c r="M40" s="35" t="s">
        <v>14</v>
      </c>
      <c r="N40" s="51"/>
      <c r="O40" s="35" t="s">
        <v>14</v>
      </c>
      <c r="P40" s="51"/>
      <c r="Q40" s="35" t="s">
        <v>14</v>
      </c>
      <c r="R40" s="51"/>
      <c r="S40" s="35" t="s">
        <v>14</v>
      </c>
      <c r="T40" s="66"/>
    </row>
    <row r="41" spans="2:20" s="25" customFormat="1" ht="15.75" x14ac:dyDescent="0.25">
      <c r="B41" s="22" t="s">
        <v>12</v>
      </c>
      <c r="C41" s="23">
        <v>0.63611111111111118</v>
      </c>
      <c r="D41" s="51"/>
      <c r="E41" s="23">
        <v>0.63611111111111118</v>
      </c>
      <c r="F41" s="51"/>
      <c r="G41" s="23">
        <v>0.63611111111111118</v>
      </c>
      <c r="H41" s="51"/>
      <c r="I41" s="23">
        <v>0.63611111111111118</v>
      </c>
      <c r="J41" s="51"/>
      <c r="K41" s="23">
        <v>0.63611111111111118</v>
      </c>
      <c r="L41" s="51"/>
      <c r="M41" s="23">
        <v>0.63611111111111118</v>
      </c>
      <c r="N41" s="51"/>
      <c r="O41" s="23">
        <v>0.63611111111111118</v>
      </c>
      <c r="P41" s="51"/>
      <c r="Q41" s="23">
        <v>0.63611111111111118</v>
      </c>
      <c r="R41" s="51"/>
      <c r="S41" s="23">
        <v>0.63611111111111118</v>
      </c>
      <c r="T41" s="66"/>
    </row>
    <row r="42" spans="2:20" s="1" customFormat="1" ht="16.5" thickBot="1" x14ac:dyDescent="0.3">
      <c r="B42" s="38" t="s">
        <v>13</v>
      </c>
      <c r="C42" s="41">
        <f>C41-C39</f>
        <v>2.083333333333337E-2</v>
      </c>
      <c r="D42" s="52"/>
      <c r="E42" s="41">
        <f>E41-E39</f>
        <v>2.083333333333337E-2</v>
      </c>
      <c r="F42" s="52"/>
      <c r="G42" s="41">
        <f>G41-G39</f>
        <v>2.083333333333337E-2</v>
      </c>
      <c r="H42" s="52"/>
      <c r="I42" s="41">
        <f>I41-I39</f>
        <v>2.083333333333337E-2</v>
      </c>
      <c r="J42" s="52"/>
      <c r="K42" s="41">
        <f>K41-K39</f>
        <v>2.083333333333337E-2</v>
      </c>
      <c r="L42" s="52"/>
      <c r="M42" s="41">
        <f>M41-M39</f>
        <v>2.083333333333337E-2</v>
      </c>
      <c r="N42" s="52"/>
      <c r="O42" s="41">
        <f>O41-O39</f>
        <v>2.083333333333337E-2</v>
      </c>
      <c r="P42" s="52"/>
      <c r="Q42" s="41">
        <f>Q41-Q39</f>
        <v>2.083333333333337E-2</v>
      </c>
      <c r="R42" s="52"/>
      <c r="S42" s="41">
        <f>S41-S39</f>
        <v>2.083333333333337E-2</v>
      </c>
      <c r="T42" s="69"/>
    </row>
    <row r="43" spans="2:20" s="1" customFormat="1" ht="15.75" x14ac:dyDescent="0.25">
      <c r="B43" s="90" t="s">
        <v>1</v>
      </c>
      <c r="C43" s="92">
        <v>14</v>
      </c>
      <c r="D43" s="9">
        <v>15</v>
      </c>
      <c r="E43" s="9">
        <v>16</v>
      </c>
      <c r="F43" s="9">
        <v>17</v>
      </c>
      <c r="G43" s="9">
        <v>18</v>
      </c>
      <c r="H43" s="9">
        <v>19</v>
      </c>
      <c r="I43" s="8">
        <v>20</v>
      </c>
      <c r="J43" s="8">
        <v>21</v>
      </c>
      <c r="K43" s="9">
        <v>22</v>
      </c>
      <c r="L43" s="9">
        <v>23</v>
      </c>
      <c r="M43" s="9">
        <v>24</v>
      </c>
      <c r="N43" s="9">
        <v>25</v>
      </c>
      <c r="O43" s="9">
        <v>26</v>
      </c>
      <c r="P43" s="9">
        <v>27</v>
      </c>
      <c r="Q43" s="9">
        <v>28</v>
      </c>
      <c r="R43" s="9">
        <v>29</v>
      </c>
      <c r="S43" s="9">
        <v>30</v>
      </c>
      <c r="T43" s="10">
        <v>31</v>
      </c>
    </row>
    <row r="44" spans="2:20" s="1" customFormat="1" ht="16.5" thickBot="1" x14ac:dyDescent="0.3">
      <c r="B44" s="91"/>
      <c r="C44" s="93" t="s">
        <v>2</v>
      </c>
      <c r="D44" s="13" t="s">
        <v>3</v>
      </c>
      <c r="E44" s="13" t="s">
        <v>4</v>
      </c>
      <c r="F44" s="13" t="s">
        <v>5</v>
      </c>
      <c r="G44" s="13" t="s">
        <v>6</v>
      </c>
      <c r="H44" s="14" t="s">
        <v>7</v>
      </c>
      <c r="I44" s="15" t="s">
        <v>8</v>
      </c>
      <c r="J44" s="12" t="s">
        <v>2</v>
      </c>
      <c r="K44" s="13" t="s">
        <v>3</v>
      </c>
      <c r="L44" s="13" t="s">
        <v>4</v>
      </c>
      <c r="M44" s="13" t="s">
        <v>5</v>
      </c>
      <c r="N44" s="13" t="s">
        <v>6</v>
      </c>
      <c r="O44" s="13" t="s">
        <v>7</v>
      </c>
      <c r="P44" s="15" t="s">
        <v>8</v>
      </c>
      <c r="Q44" s="12" t="s">
        <v>2</v>
      </c>
      <c r="R44" s="13" t="s">
        <v>3</v>
      </c>
      <c r="S44" s="16" t="s">
        <v>4</v>
      </c>
      <c r="T44" s="16" t="s">
        <v>5</v>
      </c>
    </row>
    <row r="45" spans="2:20" s="1" customFormat="1" ht="15.75" x14ac:dyDescent="0.25">
      <c r="B45" s="54"/>
      <c r="C45" s="55"/>
      <c r="D45" s="55"/>
      <c r="E45" s="56"/>
      <c r="F45" s="57"/>
      <c r="G45" s="55"/>
      <c r="H45" s="58"/>
      <c r="I45" s="55"/>
      <c r="J45" s="55"/>
      <c r="K45" s="55"/>
      <c r="L45" s="56"/>
      <c r="M45" s="57"/>
      <c r="N45" s="55"/>
      <c r="O45" s="55"/>
      <c r="P45" s="55"/>
      <c r="Q45" s="55"/>
      <c r="R45" s="55"/>
      <c r="S45" s="56"/>
    </row>
    <row r="46" spans="2:20" ht="18.75" x14ac:dyDescent="0.3">
      <c r="N46" s="60" t="s">
        <v>15</v>
      </c>
      <c r="O46" s="61"/>
      <c r="P46" s="61"/>
      <c r="Q46" s="61"/>
      <c r="R46" s="61"/>
      <c r="S46" s="61"/>
    </row>
    <row r="47" spans="2:20" x14ac:dyDescent="0.25">
      <c r="N47" s="61"/>
      <c r="O47" s="61"/>
      <c r="P47" s="61"/>
      <c r="Q47" s="61"/>
      <c r="R47" s="61"/>
      <c r="S47" s="61"/>
    </row>
    <row r="48" spans="2:20" ht="18.75" x14ac:dyDescent="0.3">
      <c r="N48" s="62" t="s">
        <v>16</v>
      </c>
      <c r="O48" s="62"/>
      <c r="P48" s="62"/>
      <c r="Q48" s="62"/>
      <c r="R48" s="62"/>
      <c r="S48" s="62"/>
    </row>
    <row r="49" spans="8:19" ht="18.75" x14ac:dyDescent="0.3">
      <c r="N49" s="60"/>
      <c r="O49" s="60"/>
      <c r="P49" s="60"/>
      <c r="Q49" s="60"/>
      <c r="R49" s="61"/>
      <c r="S49" s="61"/>
    </row>
    <row r="50" spans="8:19" ht="18.75" x14ac:dyDescent="0.3">
      <c r="N50" s="60"/>
      <c r="O50" s="60"/>
      <c r="P50" s="60"/>
      <c r="Q50" s="60"/>
      <c r="R50" s="61"/>
      <c r="S50" s="61"/>
    </row>
    <row r="51" spans="8:19" ht="18.75" x14ac:dyDescent="0.3">
      <c r="N51" s="62" t="s">
        <v>17</v>
      </c>
      <c r="O51" s="62"/>
      <c r="P51" s="62"/>
      <c r="Q51" s="62"/>
      <c r="R51" s="62"/>
      <c r="S51" s="62"/>
    </row>
    <row r="52" spans="8:19" x14ac:dyDescent="0.25">
      <c r="N52" s="61"/>
      <c r="O52" s="61"/>
      <c r="P52" s="61"/>
      <c r="Q52" s="61"/>
      <c r="R52" s="61"/>
      <c r="S52" s="61"/>
    </row>
    <row r="55" spans="8:19" x14ac:dyDescent="0.25">
      <c r="H55" s="59" t="s">
        <v>18</v>
      </c>
    </row>
  </sheetData>
  <mergeCells count="6">
    <mergeCell ref="N48:S48"/>
    <mergeCell ref="N51:S51"/>
    <mergeCell ref="B5:T5"/>
    <mergeCell ref="J3:S3"/>
    <mergeCell ref="B6:B7"/>
    <mergeCell ref="B43:B4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G55"/>
  <sheetViews>
    <sheetView tabSelected="1" topLeftCell="I4" zoomScale="90" zoomScaleNormal="90" workbookViewId="0">
      <selection activeCell="AG6" sqref="AG6:AG7"/>
    </sheetView>
  </sheetViews>
  <sheetFormatPr defaultRowHeight="15" x14ac:dyDescent="0.25"/>
  <cols>
    <col min="1" max="1" width="4.140625" customWidth="1"/>
    <col min="2" max="2" width="32.140625" customWidth="1"/>
    <col min="3" max="7" width="11.28515625" customWidth="1"/>
    <col min="8" max="8" width="11.28515625" style="59" customWidth="1"/>
    <col min="9" max="17" width="11.28515625" customWidth="1"/>
    <col min="18" max="18" width="15" customWidth="1"/>
    <col min="19" max="33" width="11.28515625" customWidth="1"/>
  </cols>
  <sheetData>
    <row r="3" spans="1:33" ht="15.75" x14ac:dyDescent="0.25">
      <c r="A3" s="1"/>
      <c r="B3" s="1"/>
      <c r="C3" s="1"/>
      <c r="D3" s="1"/>
      <c r="E3" s="1"/>
      <c r="F3" s="1"/>
      <c r="G3" s="1"/>
      <c r="H3" s="2"/>
      <c r="I3" s="1"/>
      <c r="J3" s="3" t="s">
        <v>19</v>
      </c>
      <c r="K3" s="3"/>
      <c r="L3" s="3"/>
      <c r="M3" s="3"/>
      <c r="N3" s="3"/>
      <c r="O3" s="3"/>
      <c r="P3" s="3"/>
      <c r="Q3" s="3"/>
      <c r="R3" s="3"/>
      <c r="S3" s="3"/>
    </row>
    <row r="4" spans="1:33" ht="16.5" thickBot="1" x14ac:dyDescent="0.3">
      <c r="A4" s="1"/>
      <c r="B4" s="1"/>
      <c r="C4" s="1"/>
      <c r="D4" s="1"/>
      <c r="E4" s="1"/>
      <c r="F4" s="1"/>
      <c r="G4" s="1"/>
      <c r="H4" s="2"/>
      <c r="I4" s="1"/>
    </row>
    <row r="5" spans="1:33" s="1" customFormat="1" ht="16.5" thickBot="1" x14ac:dyDescent="0.3">
      <c r="B5" s="79" t="s">
        <v>20</v>
      </c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5"/>
    </row>
    <row r="6" spans="1:33" s="1" customFormat="1" ht="15.75" x14ac:dyDescent="0.25">
      <c r="B6" s="7" t="s">
        <v>1</v>
      </c>
      <c r="C6" s="9">
        <v>1</v>
      </c>
      <c r="D6" s="9">
        <v>2</v>
      </c>
      <c r="E6" s="9">
        <v>3</v>
      </c>
      <c r="F6" s="9">
        <v>4</v>
      </c>
      <c r="G6" s="9">
        <v>5</v>
      </c>
      <c r="H6" s="9">
        <v>6</v>
      </c>
      <c r="I6" s="9">
        <v>7</v>
      </c>
      <c r="J6" s="9">
        <v>8</v>
      </c>
      <c r="K6" s="9">
        <v>9</v>
      </c>
      <c r="L6" s="9">
        <v>10</v>
      </c>
      <c r="M6" s="9">
        <v>11</v>
      </c>
      <c r="N6" s="9">
        <v>12</v>
      </c>
      <c r="O6" s="9">
        <v>13</v>
      </c>
      <c r="P6" s="9">
        <v>14</v>
      </c>
      <c r="Q6" s="9">
        <v>15</v>
      </c>
      <c r="R6" s="9">
        <v>16</v>
      </c>
      <c r="S6" s="9">
        <v>17</v>
      </c>
      <c r="T6" s="9">
        <v>18</v>
      </c>
      <c r="U6" s="9">
        <v>19</v>
      </c>
      <c r="V6" s="9">
        <v>20</v>
      </c>
      <c r="W6" s="9">
        <v>21</v>
      </c>
      <c r="X6" s="9">
        <v>22</v>
      </c>
      <c r="Y6" s="9">
        <v>23</v>
      </c>
      <c r="Z6" s="9">
        <v>24</v>
      </c>
      <c r="AA6" s="9">
        <v>25</v>
      </c>
      <c r="AB6" s="9">
        <v>26</v>
      </c>
      <c r="AC6" s="9">
        <v>27</v>
      </c>
      <c r="AD6" s="9">
        <v>28</v>
      </c>
      <c r="AE6" s="9">
        <v>29</v>
      </c>
      <c r="AF6" s="9">
        <v>30</v>
      </c>
      <c r="AG6" s="9">
        <v>31</v>
      </c>
    </row>
    <row r="7" spans="1:33" s="1" customFormat="1" ht="16.5" thickBot="1" x14ac:dyDescent="0.3">
      <c r="B7" s="80"/>
      <c r="C7" s="81" t="s">
        <v>6</v>
      </c>
      <c r="D7" s="82" t="s">
        <v>7</v>
      </c>
      <c r="E7" s="81" t="s">
        <v>8</v>
      </c>
      <c r="F7" s="82" t="s">
        <v>2</v>
      </c>
      <c r="G7" s="81" t="s">
        <v>3</v>
      </c>
      <c r="H7" s="82" t="s">
        <v>4</v>
      </c>
      <c r="I7" s="81" t="s">
        <v>5</v>
      </c>
      <c r="J7" s="82" t="s">
        <v>6</v>
      </c>
      <c r="K7" s="81" t="s">
        <v>7</v>
      </c>
      <c r="L7" s="82" t="s">
        <v>8</v>
      </c>
      <c r="M7" s="81" t="s">
        <v>2</v>
      </c>
      <c r="N7" s="82" t="s">
        <v>3</v>
      </c>
      <c r="O7" s="81" t="s">
        <v>4</v>
      </c>
      <c r="P7" s="82" t="s">
        <v>5</v>
      </c>
      <c r="Q7" s="81" t="s">
        <v>6</v>
      </c>
      <c r="R7" s="82" t="s">
        <v>7</v>
      </c>
      <c r="S7" s="81" t="s">
        <v>8</v>
      </c>
      <c r="T7" s="82" t="s">
        <v>2</v>
      </c>
      <c r="U7" s="81" t="s">
        <v>3</v>
      </c>
      <c r="V7" s="82" t="s">
        <v>4</v>
      </c>
      <c r="W7" s="81" t="s">
        <v>5</v>
      </c>
      <c r="X7" s="82" t="s">
        <v>6</v>
      </c>
      <c r="Y7" s="81" t="s">
        <v>7</v>
      </c>
      <c r="Z7" s="82" t="s">
        <v>8</v>
      </c>
      <c r="AA7" s="81" t="s">
        <v>2</v>
      </c>
      <c r="AB7" s="82" t="s">
        <v>3</v>
      </c>
      <c r="AC7" s="81" t="s">
        <v>4</v>
      </c>
      <c r="AD7" s="82" t="s">
        <v>5</v>
      </c>
      <c r="AE7" s="81" t="s">
        <v>6</v>
      </c>
      <c r="AF7" s="82" t="s">
        <v>7</v>
      </c>
      <c r="AG7" s="81" t="s">
        <v>8</v>
      </c>
    </row>
    <row r="8" spans="1:33" s="17" customFormat="1" ht="15.75" x14ac:dyDescent="0.25">
      <c r="B8" s="18" t="s">
        <v>9</v>
      </c>
      <c r="C8" s="19">
        <v>108</v>
      </c>
      <c r="D8" s="19">
        <v>108</v>
      </c>
      <c r="E8" s="19">
        <v>108</v>
      </c>
      <c r="F8" s="19">
        <v>108</v>
      </c>
      <c r="G8" s="19">
        <v>108</v>
      </c>
      <c r="H8" s="19">
        <v>108</v>
      </c>
      <c r="I8" s="19">
        <v>108</v>
      </c>
      <c r="J8" s="19">
        <v>108</v>
      </c>
      <c r="K8" s="19">
        <v>108</v>
      </c>
      <c r="L8" s="19">
        <v>108</v>
      </c>
      <c r="M8" s="19">
        <v>108</v>
      </c>
      <c r="N8" s="19">
        <v>108</v>
      </c>
      <c r="O8" s="19">
        <v>108</v>
      </c>
      <c r="P8" s="19">
        <v>108</v>
      </c>
      <c r="Q8" s="19">
        <v>108</v>
      </c>
      <c r="R8" s="19">
        <v>108</v>
      </c>
      <c r="S8" s="19">
        <v>108</v>
      </c>
      <c r="T8" s="19">
        <v>108</v>
      </c>
      <c r="U8" s="19">
        <v>108</v>
      </c>
      <c r="V8" s="19">
        <v>108</v>
      </c>
      <c r="W8" s="19">
        <v>108</v>
      </c>
      <c r="X8" s="19">
        <v>108</v>
      </c>
      <c r="Y8" s="19">
        <v>108</v>
      </c>
      <c r="Z8" s="19">
        <v>108</v>
      </c>
      <c r="AA8" s="19">
        <v>108</v>
      </c>
      <c r="AB8" s="19">
        <v>108</v>
      </c>
      <c r="AC8" s="19">
        <v>108</v>
      </c>
      <c r="AD8" s="19">
        <v>108</v>
      </c>
      <c r="AE8" s="19">
        <v>108</v>
      </c>
      <c r="AF8" s="19">
        <v>108</v>
      </c>
      <c r="AG8" s="21">
        <v>108</v>
      </c>
    </row>
    <row r="9" spans="1:33" s="17" customFormat="1" ht="15.75" x14ac:dyDescent="0.25">
      <c r="B9" s="22" t="s">
        <v>10</v>
      </c>
      <c r="C9" s="23">
        <v>0.22916666666666666</v>
      </c>
      <c r="D9" s="23">
        <v>0.22916666666666666</v>
      </c>
      <c r="E9" s="23">
        <v>0.22916666666666666</v>
      </c>
      <c r="F9" s="23">
        <v>0.22916666666666666</v>
      </c>
      <c r="G9" s="23">
        <v>0.22916666666666666</v>
      </c>
      <c r="H9" s="23">
        <v>0.22916666666666666</v>
      </c>
      <c r="I9" s="23">
        <v>0.22916666666666666</v>
      </c>
      <c r="J9" s="23">
        <v>0.22916666666666666</v>
      </c>
      <c r="K9" s="23">
        <v>0.22916666666666666</v>
      </c>
      <c r="L9" s="23">
        <v>0.22916666666666666</v>
      </c>
      <c r="M9" s="23">
        <v>0.22916666666666666</v>
      </c>
      <c r="N9" s="23">
        <v>0.22916666666666666</v>
      </c>
      <c r="O9" s="23">
        <v>0.22916666666666666</v>
      </c>
      <c r="P9" s="23">
        <v>0.22916666666666666</v>
      </c>
      <c r="Q9" s="23">
        <v>0.22916666666666666</v>
      </c>
      <c r="R9" s="23">
        <v>0.22916666666666666</v>
      </c>
      <c r="S9" s="23">
        <v>0.22916666666666666</v>
      </c>
      <c r="T9" s="23">
        <v>0.22916666666666666</v>
      </c>
      <c r="U9" s="23">
        <v>0.22916666666666666</v>
      </c>
      <c r="V9" s="23">
        <v>0.22916666666666666</v>
      </c>
      <c r="W9" s="23">
        <v>0.22916666666666666</v>
      </c>
      <c r="X9" s="23">
        <v>0.22916666666666666</v>
      </c>
      <c r="Y9" s="23">
        <v>0.22916666666666666</v>
      </c>
      <c r="Z9" s="23">
        <v>0.22916666666666666</v>
      </c>
      <c r="AA9" s="23">
        <v>0.22916666666666666</v>
      </c>
      <c r="AB9" s="23">
        <v>0.22916666666666666</v>
      </c>
      <c r="AC9" s="23">
        <v>0.22916666666666666</v>
      </c>
      <c r="AD9" s="23">
        <v>0.22916666666666666</v>
      </c>
      <c r="AE9" s="23">
        <v>0.22916666666666666</v>
      </c>
      <c r="AF9" s="23">
        <v>0.22916666666666666</v>
      </c>
      <c r="AG9" s="24">
        <v>0.22916666666666666</v>
      </c>
    </row>
    <row r="10" spans="1:33" s="25" customFormat="1" ht="15.75" x14ac:dyDescent="0.25">
      <c r="B10" s="26" t="s">
        <v>11</v>
      </c>
      <c r="C10" s="27">
        <v>107</v>
      </c>
      <c r="D10" s="27">
        <v>107</v>
      </c>
      <c r="E10" s="27">
        <v>107</v>
      </c>
      <c r="F10" s="27">
        <v>107</v>
      </c>
      <c r="G10" s="27">
        <v>107</v>
      </c>
      <c r="H10" s="27">
        <v>107</v>
      </c>
      <c r="I10" s="27">
        <v>107</v>
      </c>
      <c r="J10" s="27">
        <v>107</v>
      </c>
      <c r="K10" s="27">
        <v>107</v>
      </c>
      <c r="L10" s="27">
        <v>107</v>
      </c>
      <c r="M10" s="27">
        <v>107</v>
      </c>
      <c r="N10" s="27">
        <v>107</v>
      </c>
      <c r="O10" s="27">
        <v>107</v>
      </c>
      <c r="P10" s="27">
        <v>107</v>
      </c>
      <c r="Q10" s="27">
        <v>107</v>
      </c>
      <c r="R10" s="27">
        <v>107</v>
      </c>
      <c r="S10" s="27">
        <v>107</v>
      </c>
      <c r="T10" s="27">
        <v>107</v>
      </c>
      <c r="U10" s="27">
        <v>107</v>
      </c>
      <c r="V10" s="27">
        <v>107</v>
      </c>
      <c r="W10" s="27">
        <v>107</v>
      </c>
      <c r="X10" s="27">
        <v>107</v>
      </c>
      <c r="Y10" s="27">
        <v>107</v>
      </c>
      <c r="Z10" s="27">
        <v>107</v>
      </c>
      <c r="AA10" s="27">
        <v>107</v>
      </c>
      <c r="AB10" s="27">
        <v>107</v>
      </c>
      <c r="AC10" s="27">
        <v>107</v>
      </c>
      <c r="AD10" s="27">
        <v>107</v>
      </c>
      <c r="AE10" s="27">
        <v>107</v>
      </c>
      <c r="AF10" s="27">
        <v>107</v>
      </c>
      <c r="AG10" s="28">
        <v>107</v>
      </c>
    </row>
    <row r="11" spans="1:33" s="25" customFormat="1" ht="15.75" x14ac:dyDescent="0.25">
      <c r="B11" s="22" t="s">
        <v>12</v>
      </c>
      <c r="C11" s="23">
        <v>0.80208333333333337</v>
      </c>
      <c r="D11" s="23">
        <v>0.80208333333333337</v>
      </c>
      <c r="E11" s="23">
        <v>0.80208333333333337</v>
      </c>
      <c r="F11" s="23">
        <v>0.80208333333333337</v>
      </c>
      <c r="G11" s="23">
        <v>0.80208333333333337</v>
      </c>
      <c r="H11" s="23">
        <v>0.80208333333333337</v>
      </c>
      <c r="I11" s="23">
        <v>0.80208333333333337</v>
      </c>
      <c r="J11" s="23">
        <v>0.80208333333333337</v>
      </c>
      <c r="K11" s="23">
        <v>0.80208333333333337</v>
      </c>
      <c r="L11" s="23">
        <v>0.80208333333333337</v>
      </c>
      <c r="M11" s="23">
        <v>0.80208333333333337</v>
      </c>
      <c r="N11" s="23">
        <v>0.80208333333333337</v>
      </c>
      <c r="O11" s="23">
        <v>0.80208333333333337</v>
      </c>
      <c r="P11" s="23">
        <v>0.80208333333333337</v>
      </c>
      <c r="Q11" s="23">
        <v>0.80208333333333337</v>
      </c>
      <c r="R11" s="23">
        <v>0.80208333333333337</v>
      </c>
      <c r="S11" s="23">
        <v>0.80208333333333337</v>
      </c>
      <c r="T11" s="23">
        <v>0.80208333333333337</v>
      </c>
      <c r="U11" s="23">
        <v>0.80208333333333337</v>
      </c>
      <c r="V11" s="23">
        <v>0.80208333333333337</v>
      </c>
      <c r="W11" s="23">
        <v>0.80208333333333337</v>
      </c>
      <c r="X11" s="23">
        <v>0.80208333333333337</v>
      </c>
      <c r="Y11" s="23">
        <v>0.80208333333333337</v>
      </c>
      <c r="Z11" s="23">
        <v>0.80208333333333337</v>
      </c>
      <c r="AA11" s="23">
        <v>0.80208333333333337</v>
      </c>
      <c r="AB11" s="23">
        <v>0.80208333333333337</v>
      </c>
      <c r="AC11" s="23">
        <v>0.80208333333333337</v>
      </c>
      <c r="AD11" s="23">
        <v>0.80208333333333337</v>
      </c>
      <c r="AE11" s="23">
        <v>0.80208333333333337</v>
      </c>
      <c r="AF11" s="23">
        <v>0.80208333333333337</v>
      </c>
      <c r="AG11" s="24">
        <v>0.80208333333333337</v>
      </c>
    </row>
    <row r="12" spans="1:33" s="25" customFormat="1" ht="16.5" thickBot="1" x14ac:dyDescent="0.3">
      <c r="B12" s="38" t="s">
        <v>13</v>
      </c>
      <c r="C12" s="41">
        <f t="shared" ref="C12:T12" si="0">C11-C9</f>
        <v>0.57291666666666674</v>
      </c>
      <c r="D12" s="41">
        <f t="shared" si="0"/>
        <v>0.57291666666666674</v>
      </c>
      <c r="E12" s="41">
        <f t="shared" si="0"/>
        <v>0.57291666666666674</v>
      </c>
      <c r="F12" s="41">
        <f t="shared" si="0"/>
        <v>0.57291666666666674</v>
      </c>
      <c r="G12" s="41">
        <f t="shared" si="0"/>
        <v>0.57291666666666674</v>
      </c>
      <c r="H12" s="41">
        <f t="shared" si="0"/>
        <v>0.57291666666666674</v>
      </c>
      <c r="I12" s="41">
        <f t="shared" si="0"/>
        <v>0.57291666666666674</v>
      </c>
      <c r="J12" s="41">
        <f t="shared" si="0"/>
        <v>0.57291666666666674</v>
      </c>
      <c r="K12" s="41">
        <f t="shared" si="0"/>
        <v>0.57291666666666674</v>
      </c>
      <c r="L12" s="41">
        <f t="shared" si="0"/>
        <v>0.57291666666666674</v>
      </c>
      <c r="M12" s="41">
        <f t="shared" si="0"/>
        <v>0.57291666666666674</v>
      </c>
      <c r="N12" s="41">
        <f t="shared" si="0"/>
        <v>0.57291666666666674</v>
      </c>
      <c r="O12" s="41">
        <f t="shared" si="0"/>
        <v>0.57291666666666674</v>
      </c>
      <c r="P12" s="41">
        <f t="shared" si="0"/>
        <v>0.57291666666666674</v>
      </c>
      <c r="Q12" s="41">
        <f t="shared" si="0"/>
        <v>0.57291666666666674</v>
      </c>
      <c r="R12" s="41">
        <f t="shared" si="0"/>
        <v>0.57291666666666674</v>
      </c>
      <c r="S12" s="41">
        <f t="shared" si="0"/>
        <v>0.57291666666666674</v>
      </c>
      <c r="T12" s="41">
        <f t="shared" si="0"/>
        <v>0.57291666666666674</v>
      </c>
      <c r="U12" s="41">
        <f t="shared" ref="U12:AG12" si="1">U11-U9</f>
        <v>0.57291666666666674</v>
      </c>
      <c r="V12" s="41">
        <f t="shared" si="1"/>
        <v>0.57291666666666674</v>
      </c>
      <c r="W12" s="41">
        <f t="shared" si="1"/>
        <v>0.57291666666666674</v>
      </c>
      <c r="X12" s="41">
        <f t="shared" si="1"/>
        <v>0.57291666666666674</v>
      </c>
      <c r="Y12" s="41">
        <f t="shared" si="1"/>
        <v>0.57291666666666674</v>
      </c>
      <c r="Z12" s="41">
        <f t="shared" si="1"/>
        <v>0.57291666666666674</v>
      </c>
      <c r="AA12" s="41">
        <f t="shared" si="1"/>
        <v>0.57291666666666674</v>
      </c>
      <c r="AB12" s="41">
        <f t="shared" si="1"/>
        <v>0.57291666666666674</v>
      </c>
      <c r="AC12" s="41">
        <f t="shared" si="1"/>
        <v>0.57291666666666674</v>
      </c>
      <c r="AD12" s="41">
        <f t="shared" si="1"/>
        <v>0.57291666666666674</v>
      </c>
      <c r="AE12" s="41">
        <f t="shared" si="1"/>
        <v>0.57291666666666674</v>
      </c>
      <c r="AF12" s="41">
        <f t="shared" si="1"/>
        <v>0.57291666666666674</v>
      </c>
      <c r="AG12" s="42">
        <f t="shared" si="1"/>
        <v>0.57291666666666674</v>
      </c>
    </row>
    <row r="13" spans="1:33" s="17" customFormat="1" ht="15.75" x14ac:dyDescent="0.25">
      <c r="B13" s="18" t="s">
        <v>9</v>
      </c>
      <c r="C13" s="85"/>
      <c r="D13" s="19">
        <v>74</v>
      </c>
      <c r="E13" s="32"/>
      <c r="F13" s="19">
        <v>74</v>
      </c>
      <c r="G13" s="32"/>
      <c r="H13" s="19">
        <v>74</v>
      </c>
      <c r="I13" s="32"/>
      <c r="J13" s="19">
        <v>74</v>
      </c>
      <c r="K13" s="32"/>
      <c r="L13" s="19">
        <v>74</v>
      </c>
      <c r="M13" s="32"/>
      <c r="N13" s="19">
        <v>74</v>
      </c>
      <c r="O13" s="32"/>
      <c r="P13" s="19">
        <v>74</v>
      </c>
      <c r="Q13" s="32"/>
      <c r="R13" s="19">
        <v>74</v>
      </c>
      <c r="S13" s="32"/>
      <c r="T13" s="19">
        <v>74</v>
      </c>
      <c r="U13" s="85"/>
      <c r="V13" s="19">
        <v>74</v>
      </c>
      <c r="W13" s="32"/>
      <c r="X13" s="19">
        <v>74</v>
      </c>
      <c r="Y13" s="32"/>
      <c r="Z13" s="19">
        <v>74</v>
      </c>
      <c r="AA13" s="32"/>
      <c r="AB13" s="19">
        <v>74</v>
      </c>
      <c r="AC13" s="32"/>
      <c r="AD13" s="19">
        <v>74</v>
      </c>
      <c r="AE13" s="32"/>
      <c r="AF13" s="19">
        <v>74</v>
      </c>
      <c r="AG13" s="86"/>
    </row>
    <row r="14" spans="1:33" s="17" customFormat="1" ht="15.75" x14ac:dyDescent="0.25">
      <c r="B14" s="22" t="s">
        <v>10</v>
      </c>
      <c r="C14" s="34"/>
      <c r="D14" s="23">
        <v>0.60069444444444442</v>
      </c>
      <c r="E14" s="33"/>
      <c r="F14" s="23">
        <v>0.60069444444444442</v>
      </c>
      <c r="G14" s="33"/>
      <c r="H14" s="23">
        <v>0.60069444444444442</v>
      </c>
      <c r="I14" s="33"/>
      <c r="J14" s="23">
        <v>0.60069444444444442</v>
      </c>
      <c r="K14" s="33"/>
      <c r="L14" s="23">
        <v>0.60069444444444442</v>
      </c>
      <c r="M14" s="33"/>
      <c r="N14" s="23">
        <v>0.60069444444444442</v>
      </c>
      <c r="O14" s="33"/>
      <c r="P14" s="23">
        <v>0.60069444444444442</v>
      </c>
      <c r="Q14" s="33"/>
      <c r="R14" s="23">
        <v>0.60069444444444442</v>
      </c>
      <c r="S14" s="33"/>
      <c r="T14" s="23">
        <v>0.95694444444444438</v>
      </c>
      <c r="U14" s="34"/>
      <c r="V14" s="23">
        <v>0.60069444444444442</v>
      </c>
      <c r="W14" s="33"/>
      <c r="X14" s="23">
        <v>0.60069444444444442</v>
      </c>
      <c r="Y14" s="33"/>
      <c r="Z14" s="23">
        <v>0.60069444444444442</v>
      </c>
      <c r="AA14" s="33"/>
      <c r="AB14" s="23">
        <v>0.60069444444444442</v>
      </c>
      <c r="AC14" s="33"/>
      <c r="AD14" s="23">
        <v>0.60069444444444442</v>
      </c>
      <c r="AE14" s="33"/>
      <c r="AF14" s="23">
        <v>0.60069444444444442</v>
      </c>
      <c r="AG14" s="36"/>
    </row>
    <row r="15" spans="1:33" s="17" customFormat="1" ht="15.75" x14ac:dyDescent="0.25">
      <c r="B15" s="26" t="s">
        <v>11</v>
      </c>
      <c r="C15" s="34"/>
      <c r="D15" s="35">
        <v>73</v>
      </c>
      <c r="E15" s="34"/>
      <c r="F15" s="35">
        <v>73</v>
      </c>
      <c r="G15" s="34"/>
      <c r="H15" s="35">
        <v>73</v>
      </c>
      <c r="I15" s="34"/>
      <c r="J15" s="35">
        <v>73</v>
      </c>
      <c r="K15" s="34"/>
      <c r="L15" s="35">
        <v>73</v>
      </c>
      <c r="M15" s="34"/>
      <c r="N15" s="35">
        <v>73</v>
      </c>
      <c r="O15" s="34"/>
      <c r="P15" s="35">
        <v>73</v>
      </c>
      <c r="Q15" s="34"/>
      <c r="R15" s="35">
        <v>73</v>
      </c>
      <c r="S15" s="34"/>
      <c r="T15" s="33"/>
      <c r="U15" s="34"/>
      <c r="V15" s="35">
        <v>73</v>
      </c>
      <c r="W15" s="34"/>
      <c r="X15" s="35">
        <v>73</v>
      </c>
      <c r="Y15" s="34"/>
      <c r="Z15" s="35">
        <v>73</v>
      </c>
      <c r="AA15" s="34"/>
      <c r="AB15" s="35">
        <v>73</v>
      </c>
      <c r="AC15" s="34"/>
      <c r="AD15" s="35">
        <v>73</v>
      </c>
      <c r="AE15" s="34"/>
      <c r="AF15" s="35">
        <v>73</v>
      </c>
      <c r="AG15" s="65"/>
    </row>
    <row r="16" spans="1:33" s="25" customFormat="1" ht="15.75" x14ac:dyDescent="0.25">
      <c r="B16" s="22" t="s">
        <v>12</v>
      </c>
      <c r="C16" s="37"/>
      <c r="D16" s="23">
        <v>0.70833333333333337</v>
      </c>
      <c r="E16" s="37"/>
      <c r="F16" s="23">
        <v>0.70833333333333337</v>
      </c>
      <c r="G16" s="37"/>
      <c r="H16" s="23">
        <v>0.70833333333333337</v>
      </c>
      <c r="I16" s="37"/>
      <c r="J16" s="23">
        <v>0.70833333333333337</v>
      </c>
      <c r="K16" s="37"/>
      <c r="L16" s="23">
        <v>0.70833333333333337</v>
      </c>
      <c r="M16" s="37"/>
      <c r="N16" s="23">
        <v>0.70833333333333337</v>
      </c>
      <c r="O16" s="37"/>
      <c r="P16" s="23">
        <v>0.70833333333333337</v>
      </c>
      <c r="Q16" s="37"/>
      <c r="R16" s="23">
        <v>0.70833333333333337</v>
      </c>
      <c r="S16" s="37"/>
      <c r="T16" s="33"/>
      <c r="U16" s="37"/>
      <c r="V16" s="23">
        <v>0.70833333333333337</v>
      </c>
      <c r="W16" s="37"/>
      <c r="X16" s="23">
        <v>0.70833333333333337</v>
      </c>
      <c r="Y16" s="37"/>
      <c r="Z16" s="23">
        <v>0.70833333333333337</v>
      </c>
      <c r="AA16" s="37"/>
      <c r="AB16" s="23">
        <v>0.70833333333333337</v>
      </c>
      <c r="AC16" s="37"/>
      <c r="AD16" s="23">
        <v>0.70833333333333337</v>
      </c>
      <c r="AE16" s="37"/>
      <c r="AF16" s="23">
        <v>0.70833333333333337</v>
      </c>
      <c r="AG16" s="66"/>
    </row>
    <row r="17" spans="2:33" s="25" customFormat="1" ht="16.5" thickBot="1" x14ac:dyDescent="0.3">
      <c r="B17" s="38" t="s">
        <v>13</v>
      </c>
      <c r="C17" s="39"/>
      <c r="D17" s="40">
        <f>(D16-D14)+24</f>
        <v>24.107638888888889</v>
      </c>
      <c r="E17" s="39"/>
      <c r="F17" s="40">
        <f>(F16-F14)+24</f>
        <v>24.107638888888889</v>
      </c>
      <c r="G17" s="39"/>
      <c r="H17" s="40">
        <f>(H16-H14)+24</f>
        <v>24.107638888888889</v>
      </c>
      <c r="I17" s="39"/>
      <c r="J17" s="40">
        <f>(J16-J14)+24</f>
        <v>24.107638888888889</v>
      </c>
      <c r="K17" s="39"/>
      <c r="L17" s="40">
        <f>(L16-L14)+24</f>
        <v>24.107638888888889</v>
      </c>
      <c r="M17" s="39"/>
      <c r="N17" s="40">
        <f>(N16-N14)+24</f>
        <v>24.107638888888889</v>
      </c>
      <c r="O17" s="39"/>
      <c r="P17" s="40">
        <f>(P16-P14)+24</f>
        <v>24.107638888888889</v>
      </c>
      <c r="Q17" s="39"/>
      <c r="R17" s="40">
        <f>(R16-R14)+24</f>
        <v>24.107638888888889</v>
      </c>
      <c r="S17" s="39"/>
      <c r="T17" s="41"/>
      <c r="U17" s="39"/>
      <c r="V17" s="40">
        <f>(V16-V14)+24</f>
        <v>24.107638888888889</v>
      </c>
      <c r="W17" s="39"/>
      <c r="X17" s="40">
        <f>(X16-X14)+24</f>
        <v>24.107638888888889</v>
      </c>
      <c r="Y17" s="39"/>
      <c r="Z17" s="40">
        <f>(Z16-Z14)+24</f>
        <v>24.107638888888889</v>
      </c>
      <c r="AA17" s="39"/>
      <c r="AB17" s="40">
        <f>(AB16-AB14)+24</f>
        <v>24.107638888888889</v>
      </c>
      <c r="AC17" s="39"/>
      <c r="AD17" s="40">
        <f>(AD16-AD14)+24</f>
        <v>24.107638888888889</v>
      </c>
      <c r="AE17" s="39"/>
      <c r="AF17" s="40">
        <f>(AF16-AF14)+24</f>
        <v>24.107638888888889</v>
      </c>
      <c r="AG17" s="67"/>
    </row>
    <row r="18" spans="2:33" s="25" customFormat="1" ht="15.75" x14ac:dyDescent="0.25">
      <c r="B18" s="18" t="s">
        <v>9</v>
      </c>
      <c r="C18" s="87"/>
      <c r="D18" s="19">
        <v>610</v>
      </c>
      <c r="E18" s="87"/>
      <c r="F18" s="19">
        <v>610</v>
      </c>
      <c r="G18" s="87"/>
      <c r="H18" s="19">
        <v>610</v>
      </c>
      <c r="I18" s="87"/>
      <c r="J18" s="19">
        <v>610</v>
      </c>
      <c r="K18" s="87"/>
      <c r="L18" s="19">
        <v>610</v>
      </c>
      <c r="M18" s="87"/>
      <c r="N18" s="19">
        <v>610</v>
      </c>
      <c r="O18" s="87"/>
      <c r="P18" s="19">
        <v>610</v>
      </c>
      <c r="Q18" s="87"/>
      <c r="R18" s="19">
        <v>610</v>
      </c>
      <c r="S18" s="87"/>
      <c r="T18" s="19">
        <v>610</v>
      </c>
      <c r="U18" s="87"/>
      <c r="V18" s="19">
        <v>610</v>
      </c>
      <c r="W18" s="87"/>
      <c r="X18" s="19">
        <v>610</v>
      </c>
      <c r="Y18" s="87"/>
      <c r="Z18" s="19">
        <v>610</v>
      </c>
      <c r="AA18" s="87"/>
      <c r="AB18" s="19">
        <v>610</v>
      </c>
      <c r="AC18" s="87"/>
      <c r="AD18" s="19">
        <v>610</v>
      </c>
      <c r="AE18" s="87"/>
      <c r="AF18" s="19">
        <v>610</v>
      </c>
      <c r="AG18" s="88"/>
    </row>
    <row r="19" spans="2:33" s="25" customFormat="1" ht="15.75" x14ac:dyDescent="0.25">
      <c r="B19" s="22" t="s">
        <v>10</v>
      </c>
      <c r="C19" s="37"/>
      <c r="D19" s="23">
        <v>0.29652777777777778</v>
      </c>
      <c r="E19" s="37"/>
      <c r="F19" s="23">
        <v>0.29652777777777778</v>
      </c>
      <c r="G19" s="37"/>
      <c r="H19" s="23">
        <v>0.29652777777777778</v>
      </c>
      <c r="I19" s="37"/>
      <c r="J19" s="23">
        <v>0.29652777777777778</v>
      </c>
      <c r="K19" s="37"/>
      <c r="L19" s="23">
        <v>0.29652777777777778</v>
      </c>
      <c r="M19" s="37"/>
      <c r="N19" s="23">
        <v>0.29652777777777778</v>
      </c>
      <c r="O19" s="37"/>
      <c r="P19" s="23">
        <v>0.29652777777777778</v>
      </c>
      <c r="Q19" s="37"/>
      <c r="R19" s="23">
        <v>0.29652777777777778</v>
      </c>
      <c r="S19" s="37"/>
      <c r="T19" s="23">
        <v>0.29652777777777778</v>
      </c>
      <c r="U19" s="37"/>
      <c r="V19" s="23">
        <v>0.29652777777777778</v>
      </c>
      <c r="W19" s="37"/>
      <c r="X19" s="23">
        <v>0.29652777777777778</v>
      </c>
      <c r="Y19" s="37"/>
      <c r="Z19" s="23">
        <v>0.29652777777777778</v>
      </c>
      <c r="AA19" s="37"/>
      <c r="AB19" s="23">
        <v>0.29652777777777778</v>
      </c>
      <c r="AC19" s="37"/>
      <c r="AD19" s="23">
        <v>0.29652777777777778</v>
      </c>
      <c r="AE19" s="37"/>
      <c r="AF19" s="23">
        <v>0.29652777777777778</v>
      </c>
      <c r="AG19" s="66"/>
    </row>
    <row r="20" spans="2:33" s="25" customFormat="1" ht="15.75" x14ac:dyDescent="0.25">
      <c r="B20" s="26" t="s">
        <v>11</v>
      </c>
      <c r="C20" s="37"/>
      <c r="D20" s="44">
        <v>609</v>
      </c>
      <c r="E20" s="37"/>
      <c r="F20" s="44">
        <v>609</v>
      </c>
      <c r="G20" s="37"/>
      <c r="H20" s="44">
        <v>609</v>
      </c>
      <c r="I20" s="37"/>
      <c r="J20" s="44">
        <v>609</v>
      </c>
      <c r="K20" s="37"/>
      <c r="L20" s="44">
        <v>609</v>
      </c>
      <c r="M20" s="37"/>
      <c r="N20" s="44">
        <v>609</v>
      </c>
      <c r="O20" s="37"/>
      <c r="P20" s="44">
        <v>609</v>
      </c>
      <c r="Q20" s="37"/>
      <c r="R20" s="44">
        <v>609</v>
      </c>
      <c r="S20" s="37"/>
      <c r="T20" s="44">
        <v>609</v>
      </c>
      <c r="U20" s="37"/>
      <c r="V20" s="44">
        <v>609</v>
      </c>
      <c r="W20" s="37"/>
      <c r="X20" s="44">
        <v>609</v>
      </c>
      <c r="Y20" s="37"/>
      <c r="Z20" s="44">
        <v>609</v>
      </c>
      <c r="AA20" s="37"/>
      <c r="AB20" s="44">
        <v>609</v>
      </c>
      <c r="AC20" s="37"/>
      <c r="AD20" s="44">
        <v>609</v>
      </c>
      <c r="AE20" s="37"/>
      <c r="AF20" s="44">
        <v>609</v>
      </c>
      <c r="AG20" s="66"/>
    </row>
    <row r="21" spans="2:33" s="25" customFormat="1" ht="15.75" x14ac:dyDescent="0.25">
      <c r="B21" s="22" t="s">
        <v>12</v>
      </c>
      <c r="C21" s="37"/>
      <c r="D21" s="23">
        <v>0.86458333333333337</v>
      </c>
      <c r="E21" s="37"/>
      <c r="F21" s="23">
        <v>0.86458333333333337</v>
      </c>
      <c r="G21" s="37"/>
      <c r="H21" s="23">
        <v>0.86458333333333337</v>
      </c>
      <c r="I21" s="37"/>
      <c r="J21" s="23">
        <v>0.86458333333333337</v>
      </c>
      <c r="K21" s="37"/>
      <c r="L21" s="23">
        <v>0.86458333333333337</v>
      </c>
      <c r="M21" s="37"/>
      <c r="N21" s="23">
        <v>0.86458333333333337</v>
      </c>
      <c r="O21" s="37"/>
      <c r="P21" s="23">
        <v>0.86458333333333337</v>
      </c>
      <c r="Q21" s="37"/>
      <c r="R21" s="23">
        <v>0.86458333333333337</v>
      </c>
      <c r="S21" s="37"/>
      <c r="T21" s="23">
        <v>0.86458333333333337</v>
      </c>
      <c r="U21" s="37"/>
      <c r="V21" s="23">
        <v>0.86458333333333337</v>
      </c>
      <c r="W21" s="37"/>
      <c r="X21" s="23">
        <v>0.86458333333333337</v>
      </c>
      <c r="Y21" s="37"/>
      <c r="Z21" s="23">
        <v>0.86458333333333337</v>
      </c>
      <c r="AA21" s="37"/>
      <c r="AB21" s="23">
        <v>0.86458333333333337</v>
      </c>
      <c r="AC21" s="37"/>
      <c r="AD21" s="23">
        <v>0.86458333333333337</v>
      </c>
      <c r="AE21" s="37"/>
      <c r="AF21" s="23">
        <v>0.86458333333333337</v>
      </c>
      <c r="AG21" s="66"/>
    </row>
    <row r="22" spans="2:33" s="25" customFormat="1" ht="16.5" thickBot="1" x14ac:dyDescent="0.3">
      <c r="B22" s="29" t="s">
        <v>13</v>
      </c>
      <c r="C22" s="77"/>
      <c r="D22" s="30">
        <f t="shared" ref="D22:F22" si="2">D21-D19</f>
        <v>0.56805555555555554</v>
      </c>
      <c r="E22" s="77"/>
      <c r="F22" s="30">
        <f t="shared" ref="F22" si="3">F21-F19</f>
        <v>0.56805555555555554</v>
      </c>
      <c r="G22" s="77"/>
      <c r="H22" s="30">
        <f t="shared" ref="H22" si="4">H21-H19</f>
        <v>0.56805555555555554</v>
      </c>
      <c r="I22" s="77"/>
      <c r="J22" s="30">
        <f t="shared" ref="J22" si="5">J21-J19</f>
        <v>0.56805555555555554</v>
      </c>
      <c r="K22" s="77"/>
      <c r="L22" s="30">
        <f t="shared" ref="L22" si="6">L21-L19</f>
        <v>0.56805555555555554</v>
      </c>
      <c r="M22" s="77"/>
      <c r="N22" s="30">
        <f t="shared" ref="N22" si="7">N21-N19</f>
        <v>0.56805555555555554</v>
      </c>
      <c r="O22" s="77"/>
      <c r="P22" s="30">
        <f t="shared" ref="P22" si="8">P21-P19</f>
        <v>0.56805555555555554</v>
      </c>
      <c r="Q22" s="77"/>
      <c r="R22" s="30">
        <f t="shared" ref="R22" si="9">R21-R19</f>
        <v>0.56805555555555554</v>
      </c>
      <c r="S22" s="77"/>
      <c r="T22" s="30">
        <f t="shared" ref="T22:U22" si="10">T21-T19</f>
        <v>0.56805555555555554</v>
      </c>
      <c r="U22" s="77"/>
      <c r="V22" s="30">
        <f>V21-V19</f>
        <v>0.56805555555555554</v>
      </c>
      <c r="W22" s="77"/>
      <c r="X22" s="30">
        <f t="shared" ref="X22" si="11">X21-X19</f>
        <v>0.56805555555555554</v>
      </c>
      <c r="Y22" s="77"/>
      <c r="Z22" s="30">
        <f t="shared" ref="Z22" si="12">Z21-Z19</f>
        <v>0.56805555555555554</v>
      </c>
      <c r="AA22" s="77"/>
      <c r="AB22" s="30">
        <f t="shared" ref="AB22" si="13">AB21-AB19</f>
        <v>0.56805555555555554</v>
      </c>
      <c r="AC22" s="77"/>
      <c r="AD22" s="30">
        <f t="shared" ref="AD22" si="14">AD21-AD19</f>
        <v>0.56805555555555554</v>
      </c>
      <c r="AE22" s="77"/>
      <c r="AF22" s="30">
        <f t="shared" ref="AF22" si="15">AF21-AF19</f>
        <v>0.56805555555555554</v>
      </c>
      <c r="AG22" s="78"/>
    </row>
    <row r="23" spans="2:33" s="25" customFormat="1" ht="15.75" x14ac:dyDescent="0.25">
      <c r="B23" s="18" t="s">
        <v>9</v>
      </c>
      <c r="C23" s="19"/>
      <c r="D23" s="19">
        <v>66</v>
      </c>
      <c r="E23" s="19"/>
      <c r="F23" s="19">
        <v>66</v>
      </c>
      <c r="G23" s="19"/>
      <c r="H23" s="19">
        <v>66</v>
      </c>
      <c r="I23" s="19"/>
      <c r="J23" s="19">
        <v>66</v>
      </c>
      <c r="K23" s="19"/>
      <c r="L23" s="19">
        <v>66</v>
      </c>
      <c r="M23" s="19"/>
      <c r="N23" s="19">
        <v>66</v>
      </c>
      <c r="O23" s="19"/>
      <c r="P23" s="19">
        <v>66</v>
      </c>
      <c r="Q23" s="19"/>
      <c r="R23" s="19">
        <v>66</v>
      </c>
      <c r="S23" s="19"/>
      <c r="T23" s="19">
        <v>66</v>
      </c>
      <c r="U23" s="19"/>
      <c r="V23" s="19">
        <v>66</v>
      </c>
      <c r="W23" s="19"/>
      <c r="X23" s="19">
        <v>66</v>
      </c>
      <c r="Y23" s="19"/>
      <c r="Z23" s="19">
        <v>66</v>
      </c>
      <c r="AA23" s="19"/>
      <c r="AB23" s="19">
        <v>66</v>
      </c>
      <c r="AC23" s="19"/>
      <c r="AD23" s="19">
        <v>66</v>
      </c>
      <c r="AE23" s="19"/>
      <c r="AF23" s="19">
        <v>66</v>
      </c>
      <c r="AG23" s="21"/>
    </row>
    <row r="24" spans="2:33" s="25" customFormat="1" ht="15.75" x14ac:dyDescent="0.25">
      <c r="B24" s="22" t="s">
        <v>10</v>
      </c>
      <c r="C24" s="23"/>
      <c r="D24" s="23">
        <v>0.34652777777777777</v>
      </c>
      <c r="E24" s="23"/>
      <c r="F24" s="23">
        <v>0.34652777777777777</v>
      </c>
      <c r="G24" s="23"/>
      <c r="H24" s="23">
        <v>0.34652777777777777</v>
      </c>
      <c r="I24" s="23"/>
      <c r="J24" s="23">
        <v>0.34652777777777777</v>
      </c>
      <c r="K24" s="23"/>
      <c r="L24" s="23">
        <v>0.34652777777777777</v>
      </c>
      <c r="M24" s="23"/>
      <c r="N24" s="23">
        <v>0.34652777777777777</v>
      </c>
      <c r="O24" s="23"/>
      <c r="P24" s="23">
        <v>0.34652777777777777</v>
      </c>
      <c r="Q24" s="23"/>
      <c r="R24" s="23">
        <v>0.34652777777777777</v>
      </c>
      <c r="S24" s="23"/>
      <c r="T24" s="23">
        <v>0.34652777777777777</v>
      </c>
      <c r="U24" s="23"/>
      <c r="V24" s="23">
        <v>0.34652777777777777</v>
      </c>
      <c r="W24" s="23"/>
      <c r="X24" s="23">
        <v>0.34652777777777777</v>
      </c>
      <c r="Y24" s="23"/>
      <c r="Z24" s="23">
        <v>0.34652777777777777</v>
      </c>
      <c r="AA24" s="23"/>
      <c r="AB24" s="23">
        <v>0.34652777777777777</v>
      </c>
      <c r="AC24" s="23"/>
      <c r="AD24" s="23">
        <v>0.34652777777777777</v>
      </c>
      <c r="AE24" s="23"/>
      <c r="AF24" s="23">
        <v>0.34652777777777777</v>
      </c>
      <c r="AG24" s="24"/>
    </row>
    <row r="25" spans="2:33" s="25" customFormat="1" ht="15.75" x14ac:dyDescent="0.25">
      <c r="B25" s="26" t="s">
        <v>11</v>
      </c>
      <c r="C25" s="44"/>
      <c r="D25" s="35" t="s">
        <v>14</v>
      </c>
      <c r="E25" s="44"/>
      <c r="F25" s="35" t="s">
        <v>14</v>
      </c>
      <c r="G25" s="44"/>
      <c r="H25" s="35" t="s">
        <v>14</v>
      </c>
      <c r="I25" s="44"/>
      <c r="J25" s="35" t="s">
        <v>14</v>
      </c>
      <c r="K25" s="44"/>
      <c r="L25" s="35" t="s">
        <v>14</v>
      </c>
      <c r="M25" s="44"/>
      <c r="N25" s="35" t="s">
        <v>14</v>
      </c>
      <c r="O25" s="44"/>
      <c r="P25" s="35" t="s">
        <v>14</v>
      </c>
      <c r="Q25" s="44"/>
      <c r="R25" s="35" t="s">
        <v>14</v>
      </c>
      <c r="S25" s="44"/>
      <c r="T25" s="35" t="s">
        <v>14</v>
      </c>
      <c r="U25" s="44"/>
      <c r="V25" s="35" t="s">
        <v>14</v>
      </c>
      <c r="W25" s="44"/>
      <c r="X25" s="35" t="s">
        <v>14</v>
      </c>
      <c r="Y25" s="44"/>
      <c r="Z25" s="35" t="s">
        <v>14</v>
      </c>
      <c r="AA25" s="44"/>
      <c r="AB25" s="35" t="s">
        <v>14</v>
      </c>
      <c r="AC25" s="44"/>
      <c r="AD25" s="35" t="s">
        <v>14</v>
      </c>
      <c r="AE25" s="44"/>
      <c r="AF25" s="35" t="s">
        <v>14</v>
      </c>
      <c r="AG25" s="45"/>
    </row>
    <row r="26" spans="2:33" s="25" customFormat="1" ht="15.75" x14ac:dyDescent="0.25">
      <c r="B26" s="22" t="s">
        <v>12</v>
      </c>
      <c r="C26" s="23"/>
      <c r="D26" s="23">
        <v>0.36388888888888887</v>
      </c>
      <c r="E26" s="23"/>
      <c r="F26" s="23">
        <v>0.36388888888888887</v>
      </c>
      <c r="G26" s="23"/>
      <c r="H26" s="23">
        <v>0.36388888888888887</v>
      </c>
      <c r="I26" s="23"/>
      <c r="J26" s="23">
        <v>0.36388888888888887</v>
      </c>
      <c r="K26" s="23"/>
      <c r="L26" s="23">
        <v>0.36388888888888887</v>
      </c>
      <c r="M26" s="23"/>
      <c r="N26" s="23">
        <v>0.36388888888888887</v>
      </c>
      <c r="O26" s="23"/>
      <c r="P26" s="23">
        <v>0.36388888888888887</v>
      </c>
      <c r="Q26" s="23"/>
      <c r="R26" s="23">
        <v>0.36388888888888887</v>
      </c>
      <c r="S26" s="23"/>
      <c r="T26" s="23">
        <v>0.36388888888888887</v>
      </c>
      <c r="U26" s="23"/>
      <c r="V26" s="23">
        <v>0.36388888888888887</v>
      </c>
      <c r="W26" s="23"/>
      <c r="X26" s="23">
        <v>0.36388888888888887</v>
      </c>
      <c r="Y26" s="23"/>
      <c r="Z26" s="23">
        <v>0.36388888888888887</v>
      </c>
      <c r="AA26" s="23"/>
      <c r="AB26" s="23">
        <v>0.36388888888888887</v>
      </c>
      <c r="AC26" s="23"/>
      <c r="AD26" s="23">
        <v>0.36388888888888887</v>
      </c>
      <c r="AE26" s="23"/>
      <c r="AF26" s="23">
        <v>0.36388888888888887</v>
      </c>
      <c r="AG26" s="24"/>
    </row>
    <row r="27" spans="2:33" s="25" customFormat="1" ht="16.5" thickBot="1" x14ac:dyDescent="0.3">
      <c r="B27" s="38" t="s">
        <v>13</v>
      </c>
      <c r="C27" s="41"/>
      <c r="D27" s="41">
        <f t="shared" ref="D27" si="16">D26-D24</f>
        <v>1.7361111111111105E-2</v>
      </c>
      <c r="E27" s="41"/>
      <c r="F27" s="41">
        <f t="shared" ref="F27" si="17">F26-F24</f>
        <v>1.7361111111111105E-2</v>
      </c>
      <c r="G27" s="41"/>
      <c r="H27" s="41">
        <f t="shared" ref="H27" si="18">H26-H24</f>
        <v>1.7361111111111105E-2</v>
      </c>
      <c r="I27" s="41"/>
      <c r="J27" s="41">
        <f t="shared" ref="J27" si="19">J26-J24</f>
        <v>1.7361111111111105E-2</v>
      </c>
      <c r="K27" s="41"/>
      <c r="L27" s="41">
        <f t="shared" ref="L27" si="20">L26-L24</f>
        <v>1.7361111111111105E-2</v>
      </c>
      <c r="M27" s="41"/>
      <c r="N27" s="41">
        <f t="shared" ref="N27" si="21">N26-N24</f>
        <v>1.7361111111111105E-2</v>
      </c>
      <c r="O27" s="41"/>
      <c r="P27" s="41">
        <f t="shared" ref="P27" si="22">P26-P24</f>
        <v>1.7361111111111105E-2</v>
      </c>
      <c r="Q27" s="41"/>
      <c r="R27" s="41">
        <f t="shared" ref="R27" si="23">R26-R24</f>
        <v>1.7361111111111105E-2</v>
      </c>
      <c r="S27" s="41"/>
      <c r="T27" s="41">
        <f t="shared" ref="T27" si="24">T26-T24</f>
        <v>1.7361111111111105E-2</v>
      </c>
      <c r="U27" s="41"/>
      <c r="V27" s="41">
        <f t="shared" ref="V27" si="25">V26-V24</f>
        <v>1.7361111111111105E-2</v>
      </c>
      <c r="W27" s="41"/>
      <c r="X27" s="41">
        <f t="shared" ref="X27" si="26">X26-X24</f>
        <v>1.7361111111111105E-2</v>
      </c>
      <c r="Y27" s="41"/>
      <c r="Z27" s="41">
        <f t="shared" ref="Z27" si="27">Z26-Z24</f>
        <v>1.7361111111111105E-2</v>
      </c>
      <c r="AA27" s="41"/>
      <c r="AB27" s="41">
        <f t="shared" ref="AB27" si="28">AB26-AB24</f>
        <v>1.7361111111111105E-2</v>
      </c>
      <c r="AC27" s="41"/>
      <c r="AD27" s="41">
        <f t="shared" ref="AD27" si="29">AD26-AD24</f>
        <v>1.7361111111111105E-2</v>
      </c>
      <c r="AE27" s="41"/>
      <c r="AF27" s="41">
        <f t="shared" ref="AF27" si="30">AF26-AF24</f>
        <v>1.7361111111111105E-2</v>
      </c>
      <c r="AG27" s="42"/>
    </row>
    <row r="28" spans="2:33" s="25" customFormat="1" ht="15.75" x14ac:dyDescent="0.25">
      <c r="B28" s="18" t="s">
        <v>9</v>
      </c>
      <c r="C28" s="32"/>
      <c r="D28" s="32"/>
      <c r="E28" s="32"/>
      <c r="F28" s="49">
        <v>65</v>
      </c>
      <c r="G28" s="32"/>
      <c r="H28" s="49">
        <v>65</v>
      </c>
      <c r="I28" s="32"/>
      <c r="J28" s="49">
        <v>65</v>
      </c>
      <c r="K28" s="32"/>
      <c r="L28" s="49">
        <v>65</v>
      </c>
      <c r="M28" s="32"/>
      <c r="N28" s="49">
        <v>65</v>
      </c>
      <c r="O28" s="32"/>
      <c r="P28" s="49">
        <v>65</v>
      </c>
      <c r="Q28" s="32"/>
      <c r="R28" s="49">
        <v>65</v>
      </c>
      <c r="S28" s="32"/>
      <c r="T28" s="49">
        <v>65</v>
      </c>
      <c r="U28" s="32"/>
      <c r="V28" s="49">
        <v>65</v>
      </c>
      <c r="W28" s="32"/>
      <c r="X28" s="49">
        <v>65</v>
      </c>
      <c r="Y28" s="32"/>
      <c r="Z28" s="49">
        <v>65</v>
      </c>
      <c r="AA28" s="32"/>
      <c r="AB28" s="49">
        <v>65</v>
      </c>
      <c r="AC28" s="32"/>
      <c r="AD28" s="49">
        <v>65</v>
      </c>
      <c r="AE28" s="32"/>
      <c r="AF28" s="49">
        <v>65</v>
      </c>
      <c r="AG28" s="86"/>
    </row>
    <row r="29" spans="2:33" s="25" customFormat="1" ht="15.75" x14ac:dyDescent="0.25">
      <c r="B29" s="22" t="s">
        <v>10</v>
      </c>
      <c r="C29" s="33"/>
      <c r="D29" s="33"/>
      <c r="E29" s="33"/>
      <c r="F29" s="23">
        <v>1.1111111111111112E-2</v>
      </c>
      <c r="G29" s="33"/>
      <c r="H29" s="23">
        <v>1.1111111111111112E-2</v>
      </c>
      <c r="I29" s="33"/>
      <c r="J29" s="23">
        <v>1.1111111111111112E-2</v>
      </c>
      <c r="K29" s="33"/>
      <c r="L29" s="23">
        <v>1.1111111111111112E-2</v>
      </c>
      <c r="M29" s="33"/>
      <c r="N29" s="23">
        <v>1.1111111111111112E-2</v>
      </c>
      <c r="O29" s="33"/>
      <c r="P29" s="23">
        <v>1.1111111111111112E-2</v>
      </c>
      <c r="Q29" s="33"/>
      <c r="R29" s="23">
        <v>1.1111111111111112E-2</v>
      </c>
      <c r="S29" s="33"/>
      <c r="T29" s="23">
        <v>1.1111111111111112E-2</v>
      </c>
      <c r="U29" s="33"/>
      <c r="V29" s="23">
        <v>1.1111111111111112E-2</v>
      </c>
      <c r="W29" s="33"/>
      <c r="X29" s="23">
        <v>1.1111111111111112E-2</v>
      </c>
      <c r="Y29" s="33"/>
      <c r="Z29" s="23">
        <v>1.1111111111111112E-2</v>
      </c>
      <c r="AA29" s="33"/>
      <c r="AB29" s="23">
        <v>1.1111111111111112E-2</v>
      </c>
      <c r="AC29" s="33"/>
      <c r="AD29" s="23">
        <v>1.1111111111111112E-2</v>
      </c>
      <c r="AE29" s="33"/>
      <c r="AF29" s="23">
        <v>1.1111111111111112E-2</v>
      </c>
      <c r="AG29" s="36"/>
    </row>
    <row r="30" spans="2:33" s="25" customFormat="1" ht="15.75" x14ac:dyDescent="0.25">
      <c r="B30" s="26" t="s">
        <v>11</v>
      </c>
      <c r="C30" s="33"/>
      <c r="D30" s="33"/>
      <c r="E30" s="33"/>
      <c r="F30" s="35" t="s">
        <v>14</v>
      </c>
      <c r="G30" s="33"/>
      <c r="H30" s="35" t="s">
        <v>14</v>
      </c>
      <c r="I30" s="33"/>
      <c r="J30" s="35" t="s">
        <v>14</v>
      </c>
      <c r="K30" s="33"/>
      <c r="L30" s="35" t="s">
        <v>14</v>
      </c>
      <c r="M30" s="33"/>
      <c r="N30" s="35" t="s">
        <v>14</v>
      </c>
      <c r="O30" s="33"/>
      <c r="P30" s="35" t="s">
        <v>14</v>
      </c>
      <c r="Q30" s="33"/>
      <c r="R30" s="35" t="s">
        <v>14</v>
      </c>
      <c r="S30" s="33"/>
      <c r="T30" s="35" t="s">
        <v>14</v>
      </c>
      <c r="U30" s="33"/>
      <c r="V30" s="35" t="s">
        <v>14</v>
      </c>
      <c r="W30" s="33"/>
      <c r="X30" s="35" t="s">
        <v>14</v>
      </c>
      <c r="Y30" s="33"/>
      <c r="Z30" s="35" t="s">
        <v>14</v>
      </c>
      <c r="AA30" s="33"/>
      <c r="AB30" s="35" t="s">
        <v>14</v>
      </c>
      <c r="AC30" s="33"/>
      <c r="AD30" s="35" t="s">
        <v>14</v>
      </c>
      <c r="AE30" s="33"/>
      <c r="AF30" s="35" t="s">
        <v>14</v>
      </c>
      <c r="AG30" s="36"/>
    </row>
    <row r="31" spans="2:33" s="25" customFormat="1" ht="15.75" x14ac:dyDescent="0.25">
      <c r="B31" s="22" t="s">
        <v>12</v>
      </c>
      <c r="C31" s="33"/>
      <c r="D31" s="33"/>
      <c r="E31" s="33"/>
      <c r="F31" s="23">
        <v>2.8472222222222222E-2</v>
      </c>
      <c r="G31" s="33"/>
      <c r="H31" s="23">
        <v>2.8472222222222222E-2</v>
      </c>
      <c r="I31" s="33"/>
      <c r="J31" s="23">
        <v>2.8472222222222222E-2</v>
      </c>
      <c r="K31" s="33"/>
      <c r="L31" s="23">
        <v>2.8472222222222222E-2</v>
      </c>
      <c r="M31" s="33"/>
      <c r="N31" s="23">
        <v>2.8472222222222222E-2</v>
      </c>
      <c r="O31" s="33"/>
      <c r="P31" s="23">
        <v>2.8472222222222222E-2</v>
      </c>
      <c r="Q31" s="33"/>
      <c r="R31" s="23">
        <v>2.8472222222222222E-2</v>
      </c>
      <c r="S31" s="33"/>
      <c r="T31" s="23">
        <v>2.8472222222222222E-2</v>
      </c>
      <c r="U31" s="33"/>
      <c r="V31" s="23">
        <v>2.8472222222222222E-2</v>
      </c>
      <c r="W31" s="33"/>
      <c r="X31" s="23">
        <v>2.8472222222222222E-2</v>
      </c>
      <c r="Y31" s="33"/>
      <c r="Z31" s="23">
        <v>2.8472222222222222E-2</v>
      </c>
      <c r="AA31" s="33"/>
      <c r="AB31" s="23">
        <v>2.8472222222222222E-2</v>
      </c>
      <c r="AC31" s="33"/>
      <c r="AD31" s="23">
        <v>2.8472222222222222E-2</v>
      </c>
      <c r="AE31" s="33"/>
      <c r="AF31" s="23">
        <v>2.8472222222222222E-2</v>
      </c>
      <c r="AG31" s="36"/>
    </row>
    <row r="32" spans="2:33" s="25" customFormat="1" ht="16.5" thickBot="1" x14ac:dyDescent="0.3">
      <c r="B32" s="29" t="s">
        <v>13</v>
      </c>
      <c r="C32" s="30"/>
      <c r="D32" s="30"/>
      <c r="E32" s="30"/>
      <c r="F32" s="30">
        <f>F31-F29</f>
        <v>1.7361111111111112E-2</v>
      </c>
      <c r="G32" s="30"/>
      <c r="H32" s="30">
        <f t="shared" ref="H32" si="31">H31-H29</f>
        <v>1.7361111111111112E-2</v>
      </c>
      <c r="I32" s="30"/>
      <c r="J32" s="30">
        <f t="shared" ref="J32" si="32">J31-J29</f>
        <v>1.7361111111111112E-2</v>
      </c>
      <c r="K32" s="30"/>
      <c r="L32" s="30">
        <f t="shared" ref="L32" si="33">L31-L29</f>
        <v>1.7361111111111112E-2</v>
      </c>
      <c r="M32" s="30"/>
      <c r="N32" s="30">
        <f t="shared" ref="N32" si="34">N31-N29</f>
        <v>1.7361111111111112E-2</v>
      </c>
      <c r="O32" s="30"/>
      <c r="P32" s="30">
        <f t="shared" ref="P32" si="35">P31-P29</f>
        <v>1.7361111111111112E-2</v>
      </c>
      <c r="Q32" s="30"/>
      <c r="R32" s="30">
        <f t="shared" ref="R32" si="36">R31-R29</f>
        <v>1.7361111111111112E-2</v>
      </c>
      <c r="S32" s="30"/>
      <c r="T32" s="30">
        <f t="shared" ref="T32" si="37">T31-T29</f>
        <v>1.7361111111111112E-2</v>
      </c>
      <c r="U32" s="30"/>
      <c r="V32" s="30">
        <f>V31-V29</f>
        <v>1.7361111111111112E-2</v>
      </c>
      <c r="W32" s="30"/>
      <c r="X32" s="30">
        <f t="shared" ref="X32" si="38">X31-X29</f>
        <v>1.7361111111111112E-2</v>
      </c>
      <c r="Y32" s="30"/>
      <c r="Z32" s="30">
        <f t="shared" ref="Z32" si="39">Z31-Z29</f>
        <v>1.7361111111111112E-2</v>
      </c>
      <c r="AA32" s="30"/>
      <c r="AB32" s="30">
        <f t="shared" ref="AB32" si="40">AB31-AB29</f>
        <v>1.7361111111111112E-2</v>
      </c>
      <c r="AC32" s="30"/>
      <c r="AD32" s="30">
        <f t="shared" ref="AD32" si="41">AD31-AD29</f>
        <v>1.7361111111111112E-2</v>
      </c>
      <c r="AE32" s="30"/>
      <c r="AF32" s="30">
        <f t="shared" ref="AF32" si="42">AF31-AF29</f>
        <v>1.7361111111111112E-2</v>
      </c>
      <c r="AG32" s="31"/>
    </row>
    <row r="33" spans="2:33" s="17" customFormat="1" ht="15.75" customHeight="1" x14ac:dyDescent="0.25">
      <c r="B33" s="18" t="s">
        <v>9</v>
      </c>
      <c r="C33" s="19">
        <v>118</v>
      </c>
      <c r="D33" s="19"/>
      <c r="E33" s="19">
        <v>118</v>
      </c>
      <c r="F33" s="19"/>
      <c r="G33" s="19">
        <v>118</v>
      </c>
      <c r="H33" s="19"/>
      <c r="I33" s="19">
        <v>118</v>
      </c>
      <c r="J33" s="19"/>
      <c r="K33" s="19">
        <v>118</v>
      </c>
      <c r="L33" s="19"/>
      <c r="M33" s="19">
        <v>118</v>
      </c>
      <c r="N33" s="19"/>
      <c r="O33" s="19">
        <v>118</v>
      </c>
      <c r="P33" s="19"/>
      <c r="Q33" s="19">
        <v>118</v>
      </c>
      <c r="R33" s="19"/>
      <c r="S33" s="19">
        <v>118</v>
      </c>
      <c r="T33" s="85"/>
      <c r="U33" s="19">
        <v>118</v>
      </c>
      <c r="V33" s="19"/>
      <c r="W33" s="19">
        <v>118</v>
      </c>
      <c r="X33" s="19"/>
      <c r="Y33" s="19">
        <v>118</v>
      </c>
      <c r="Z33" s="19"/>
      <c r="AA33" s="19">
        <v>118</v>
      </c>
      <c r="AB33" s="19"/>
      <c r="AC33" s="19">
        <v>118</v>
      </c>
      <c r="AD33" s="19"/>
      <c r="AE33" s="19">
        <v>118</v>
      </c>
      <c r="AF33" s="19"/>
      <c r="AG33" s="21">
        <v>118</v>
      </c>
    </row>
    <row r="34" spans="2:33" s="17" customFormat="1" ht="15.75" x14ac:dyDescent="0.25">
      <c r="B34" s="22" t="s">
        <v>10</v>
      </c>
      <c r="C34" s="23">
        <v>0.54375000000000007</v>
      </c>
      <c r="D34" s="23"/>
      <c r="E34" s="23">
        <v>0.54375000000000007</v>
      </c>
      <c r="F34" s="23"/>
      <c r="G34" s="23">
        <v>0.54375000000000007</v>
      </c>
      <c r="H34" s="23"/>
      <c r="I34" s="23">
        <v>0.54375000000000007</v>
      </c>
      <c r="J34" s="23"/>
      <c r="K34" s="23">
        <v>0.54375000000000007</v>
      </c>
      <c r="L34" s="23"/>
      <c r="M34" s="23">
        <v>0.54375000000000007</v>
      </c>
      <c r="N34" s="23"/>
      <c r="O34" s="23">
        <v>0.54375000000000007</v>
      </c>
      <c r="P34" s="23"/>
      <c r="Q34" s="23">
        <v>0.54375000000000007</v>
      </c>
      <c r="R34" s="23"/>
      <c r="S34" s="23">
        <v>0.54375000000000007</v>
      </c>
      <c r="T34" s="34"/>
      <c r="U34" s="23">
        <v>0.54375000000000007</v>
      </c>
      <c r="V34" s="23"/>
      <c r="W34" s="23">
        <v>0.54375000000000007</v>
      </c>
      <c r="X34" s="23"/>
      <c r="Y34" s="23">
        <v>0.54375000000000007</v>
      </c>
      <c r="Z34" s="23"/>
      <c r="AA34" s="23">
        <v>0.54375000000000007</v>
      </c>
      <c r="AB34" s="23"/>
      <c r="AC34" s="23">
        <v>0.54375000000000007</v>
      </c>
      <c r="AD34" s="23"/>
      <c r="AE34" s="23">
        <v>0.54375000000000007</v>
      </c>
      <c r="AF34" s="23"/>
      <c r="AG34" s="24">
        <v>0.54375000000000007</v>
      </c>
    </row>
    <row r="35" spans="2:33" s="17" customFormat="1" ht="15.75" x14ac:dyDescent="0.25">
      <c r="B35" s="26" t="s">
        <v>11</v>
      </c>
      <c r="C35" s="35" t="s">
        <v>14</v>
      </c>
      <c r="D35" s="35"/>
      <c r="E35" s="35" t="s">
        <v>14</v>
      </c>
      <c r="F35" s="35"/>
      <c r="G35" s="35" t="s">
        <v>14</v>
      </c>
      <c r="H35" s="35"/>
      <c r="I35" s="35" t="s">
        <v>14</v>
      </c>
      <c r="J35" s="35"/>
      <c r="K35" s="35" t="s">
        <v>14</v>
      </c>
      <c r="L35" s="35"/>
      <c r="M35" s="35" t="s">
        <v>14</v>
      </c>
      <c r="N35" s="35"/>
      <c r="O35" s="35" t="s">
        <v>14</v>
      </c>
      <c r="P35" s="35"/>
      <c r="Q35" s="35" t="s">
        <v>14</v>
      </c>
      <c r="R35" s="35"/>
      <c r="S35" s="35" t="s">
        <v>14</v>
      </c>
      <c r="T35" s="34"/>
      <c r="U35" s="35" t="s">
        <v>14</v>
      </c>
      <c r="V35" s="35"/>
      <c r="W35" s="35" t="s">
        <v>14</v>
      </c>
      <c r="X35" s="35"/>
      <c r="Y35" s="35" t="s">
        <v>14</v>
      </c>
      <c r="Z35" s="35"/>
      <c r="AA35" s="35" t="s">
        <v>14</v>
      </c>
      <c r="AB35" s="35"/>
      <c r="AC35" s="35" t="s">
        <v>14</v>
      </c>
      <c r="AD35" s="35"/>
      <c r="AE35" s="35" t="s">
        <v>14</v>
      </c>
      <c r="AF35" s="35"/>
      <c r="AG35" s="46" t="s">
        <v>14</v>
      </c>
    </row>
    <row r="36" spans="2:33" s="17" customFormat="1" ht="15.75" x14ac:dyDescent="0.25">
      <c r="B36" s="22" t="s">
        <v>12</v>
      </c>
      <c r="C36" s="23">
        <v>0.56458333333333333</v>
      </c>
      <c r="D36" s="23"/>
      <c r="E36" s="23">
        <v>0.56458333333333333</v>
      </c>
      <c r="F36" s="23"/>
      <c r="G36" s="23">
        <v>0.56458333333333333</v>
      </c>
      <c r="H36" s="23"/>
      <c r="I36" s="23">
        <v>0.56458333333333333</v>
      </c>
      <c r="J36" s="23"/>
      <c r="K36" s="23">
        <v>0.56458333333333333</v>
      </c>
      <c r="L36" s="23"/>
      <c r="M36" s="23">
        <v>0.56458333333333333</v>
      </c>
      <c r="N36" s="23"/>
      <c r="O36" s="23">
        <v>0.56458333333333333</v>
      </c>
      <c r="P36" s="23"/>
      <c r="Q36" s="23">
        <v>0.56458333333333333</v>
      </c>
      <c r="R36" s="23"/>
      <c r="S36" s="23">
        <v>0.56458333333333333</v>
      </c>
      <c r="T36" s="34"/>
      <c r="U36" s="23">
        <v>0.56458333333333333</v>
      </c>
      <c r="V36" s="23"/>
      <c r="W36" s="23">
        <v>0.56458333333333333</v>
      </c>
      <c r="X36" s="23"/>
      <c r="Y36" s="23">
        <v>0.56458333333333333</v>
      </c>
      <c r="Z36" s="23"/>
      <c r="AA36" s="23">
        <v>0.56458333333333333</v>
      </c>
      <c r="AB36" s="23"/>
      <c r="AC36" s="23">
        <v>0.56458333333333333</v>
      </c>
      <c r="AD36" s="23"/>
      <c r="AE36" s="23">
        <v>0.56458333333333333</v>
      </c>
      <c r="AF36" s="23"/>
      <c r="AG36" s="24">
        <v>0.56458333333333333</v>
      </c>
    </row>
    <row r="37" spans="2:33" s="1" customFormat="1" ht="16.5" thickBot="1" x14ac:dyDescent="0.3">
      <c r="B37" s="38" t="s">
        <v>13</v>
      </c>
      <c r="C37" s="40">
        <f t="shared" ref="C37" si="43">(C36-C34)+24</f>
        <v>24.020833333333332</v>
      </c>
      <c r="D37" s="40"/>
      <c r="E37" s="40">
        <f t="shared" ref="E37" si="44">(E36-E34)+24</f>
        <v>24.020833333333332</v>
      </c>
      <c r="F37" s="40"/>
      <c r="G37" s="40">
        <f t="shared" ref="G37" si="45">(G36-G34)+24</f>
        <v>24.020833333333332</v>
      </c>
      <c r="H37" s="47"/>
      <c r="I37" s="40">
        <f t="shared" ref="I37" si="46">(I36-I34)+24</f>
        <v>24.020833333333332</v>
      </c>
      <c r="J37" s="40"/>
      <c r="K37" s="40">
        <f t="shared" ref="K37" si="47">(K36-K34)+24</f>
        <v>24.020833333333332</v>
      </c>
      <c r="L37" s="40"/>
      <c r="M37" s="40">
        <f t="shared" ref="M37" si="48">(M36-M34)+24</f>
        <v>24.020833333333332</v>
      </c>
      <c r="N37" s="40"/>
      <c r="O37" s="40">
        <f t="shared" ref="O37" si="49">(O36-O34)+24</f>
        <v>24.020833333333332</v>
      </c>
      <c r="P37" s="40"/>
      <c r="Q37" s="40">
        <f t="shared" ref="Q37" si="50">(Q36-Q34)+24</f>
        <v>24.020833333333332</v>
      </c>
      <c r="R37" s="40"/>
      <c r="S37" s="40">
        <f t="shared" ref="S37" si="51">(S36-S34)+24</f>
        <v>24.020833333333332</v>
      </c>
      <c r="T37" s="89"/>
      <c r="U37" s="40">
        <f t="shared" ref="U37" si="52">(U36-U34)+24</f>
        <v>24.020833333333332</v>
      </c>
      <c r="V37" s="40"/>
      <c r="W37" s="40">
        <f t="shared" ref="W37" si="53">(W36-W34)+24</f>
        <v>24.020833333333332</v>
      </c>
      <c r="X37" s="40"/>
      <c r="Y37" s="40">
        <f t="shared" ref="Y37" si="54">(Y36-Y34)+24</f>
        <v>24.020833333333332</v>
      </c>
      <c r="Z37" s="47"/>
      <c r="AA37" s="40">
        <f t="shared" ref="AA37" si="55">(AA36-AA34)+24</f>
        <v>24.020833333333332</v>
      </c>
      <c r="AB37" s="40"/>
      <c r="AC37" s="40">
        <f t="shared" ref="AC37" si="56">(AC36-AC34)+24</f>
        <v>24.020833333333332</v>
      </c>
      <c r="AD37" s="40"/>
      <c r="AE37" s="40">
        <f t="shared" ref="AE37" si="57">(AE36-AE34)+24</f>
        <v>24.020833333333332</v>
      </c>
      <c r="AF37" s="40"/>
      <c r="AG37" s="48">
        <f t="shared" ref="AG37" si="58">(AG36-AG34)+24</f>
        <v>24.020833333333332</v>
      </c>
    </row>
    <row r="38" spans="2:33" s="17" customFormat="1" ht="15.75" x14ac:dyDescent="0.25">
      <c r="B38" s="43" t="s">
        <v>9</v>
      </c>
      <c r="C38" s="63">
        <v>117</v>
      </c>
      <c r="D38" s="50"/>
      <c r="E38" s="63">
        <v>117</v>
      </c>
      <c r="F38" s="50"/>
      <c r="G38" s="63">
        <v>117</v>
      </c>
      <c r="H38" s="50"/>
      <c r="I38" s="63">
        <v>117</v>
      </c>
      <c r="J38" s="50"/>
      <c r="K38" s="63">
        <v>117</v>
      </c>
      <c r="L38" s="50"/>
      <c r="M38" s="63">
        <v>117</v>
      </c>
      <c r="N38" s="50"/>
      <c r="O38" s="63">
        <v>117</v>
      </c>
      <c r="P38" s="50"/>
      <c r="Q38" s="63">
        <v>117</v>
      </c>
      <c r="R38" s="50"/>
      <c r="S38" s="63">
        <v>117</v>
      </c>
      <c r="T38" s="83"/>
      <c r="U38" s="63">
        <v>117</v>
      </c>
      <c r="V38" s="50"/>
      <c r="W38" s="63">
        <v>117</v>
      </c>
      <c r="X38" s="50"/>
      <c r="Y38" s="63">
        <v>117</v>
      </c>
      <c r="Z38" s="50"/>
      <c r="AA38" s="63">
        <v>117</v>
      </c>
      <c r="AB38" s="50"/>
      <c r="AC38" s="63">
        <v>117</v>
      </c>
      <c r="AD38" s="50"/>
      <c r="AE38" s="63">
        <v>117</v>
      </c>
      <c r="AF38" s="50"/>
      <c r="AG38" s="68">
        <v>117</v>
      </c>
    </row>
    <row r="39" spans="2:33" s="17" customFormat="1" ht="15.75" x14ac:dyDescent="0.25">
      <c r="B39" s="22" t="s">
        <v>10</v>
      </c>
      <c r="C39" s="23">
        <v>0.61527777777777781</v>
      </c>
      <c r="D39" s="51"/>
      <c r="E39" s="23">
        <v>0.61527777777777781</v>
      </c>
      <c r="F39" s="51"/>
      <c r="G39" s="23">
        <v>0.61527777777777781</v>
      </c>
      <c r="H39" s="51"/>
      <c r="I39" s="23">
        <v>0.61527777777777781</v>
      </c>
      <c r="J39" s="51"/>
      <c r="K39" s="23">
        <v>0.61527777777777781</v>
      </c>
      <c r="L39" s="51"/>
      <c r="M39" s="23">
        <v>0.61527777777777781</v>
      </c>
      <c r="N39" s="51"/>
      <c r="O39" s="23">
        <v>0.61527777777777781</v>
      </c>
      <c r="P39" s="51"/>
      <c r="Q39" s="23">
        <v>0.61527777777777781</v>
      </c>
      <c r="R39" s="51"/>
      <c r="S39" s="23">
        <v>0.61527777777777781</v>
      </c>
      <c r="T39" s="34"/>
      <c r="U39" s="23">
        <v>0.61527777777777781</v>
      </c>
      <c r="V39" s="51"/>
      <c r="W39" s="23">
        <v>0.61527777777777781</v>
      </c>
      <c r="X39" s="51"/>
      <c r="Y39" s="23">
        <v>0.61527777777777781</v>
      </c>
      <c r="Z39" s="51"/>
      <c r="AA39" s="23">
        <v>0.61527777777777781</v>
      </c>
      <c r="AB39" s="51"/>
      <c r="AC39" s="23">
        <v>0.61527777777777781</v>
      </c>
      <c r="AD39" s="51"/>
      <c r="AE39" s="23">
        <v>0.61527777777777781</v>
      </c>
      <c r="AF39" s="51"/>
      <c r="AG39" s="24">
        <v>0.61527777777777781</v>
      </c>
    </row>
    <row r="40" spans="2:33" s="25" customFormat="1" ht="15.75" x14ac:dyDescent="0.25">
      <c r="B40" s="26" t="s">
        <v>11</v>
      </c>
      <c r="C40" s="35" t="s">
        <v>14</v>
      </c>
      <c r="D40" s="51"/>
      <c r="E40" s="35" t="s">
        <v>14</v>
      </c>
      <c r="F40" s="51"/>
      <c r="G40" s="35" t="s">
        <v>14</v>
      </c>
      <c r="H40" s="51"/>
      <c r="I40" s="35" t="s">
        <v>14</v>
      </c>
      <c r="J40" s="51"/>
      <c r="K40" s="35" t="s">
        <v>14</v>
      </c>
      <c r="L40" s="51"/>
      <c r="M40" s="35" t="s">
        <v>14</v>
      </c>
      <c r="N40" s="51"/>
      <c r="O40" s="35" t="s">
        <v>14</v>
      </c>
      <c r="P40" s="51"/>
      <c r="Q40" s="35" t="s">
        <v>14</v>
      </c>
      <c r="R40" s="51"/>
      <c r="S40" s="35" t="s">
        <v>14</v>
      </c>
      <c r="T40" s="37"/>
      <c r="U40" s="35" t="s">
        <v>14</v>
      </c>
      <c r="V40" s="51"/>
      <c r="W40" s="35" t="s">
        <v>14</v>
      </c>
      <c r="X40" s="51"/>
      <c r="Y40" s="35" t="s">
        <v>14</v>
      </c>
      <c r="Z40" s="51"/>
      <c r="AA40" s="35" t="s">
        <v>14</v>
      </c>
      <c r="AB40" s="51"/>
      <c r="AC40" s="35" t="s">
        <v>14</v>
      </c>
      <c r="AD40" s="51"/>
      <c r="AE40" s="35" t="s">
        <v>14</v>
      </c>
      <c r="AF40" s="51"/>
      <c r="AG40" s="46" t="s">
        <v>14</v>
      </c>
    </row>
    <row r="41" spans="2:33" s="25" customFormat="1" ht="15.75" x14ac:dyDescent="0.25">
      <c r="B41" s="22" t="s">
        <v>12</v>
      </c>
      <c r="C41" s="23">
        <v>0.63611111111111118</v>
      </c>
      <c r="D41" s="51"/>
      <c r="E41" s="23">
        <v>0.63611111111111118</v>
      </c>
      <c r="F41" s="51"/>
      <c r="G41" s="23">
        <v>0.63611111111111118</v>
      </c>
      <c r="H41" s="51"/>
      <c r="I41" s="23">
        <v>0.63611111111111118</v>
      </c>
      <c r="J41" s="51"/>
      <c r="K41" s="23">
        <v>0.63611111111111118</v>
      </c>
      <c r="L41" s="51"/>
      <c r="M41" s="23">
        <v>0.63611111111111118</v>
      </c>
      <c r="N41" s="51"/>
      <c r="O41" s="23">
        <v>0.63611111111111118</v>
      </c>
      <c r="P41" s="51"/>
      <c r="Q41" s="23">
        <v>0.63611111111111118</v>
      </c>
      <c r="R41" s="51"/>
      <c r="S41" s="23">
        <v>0.63611111111111118</v>
      </c>
      <c r="T41" s="37"/>
      <c r="U41" s="23">
        <v>0.63611111111111118</v>
      </c>
      <c r="V41" s="51"/>
      <c r="W41" s="23">
        <v>0.63611111111111118</v>
      </c>
      <c r="X41" s="51"/>
      <c r="Y41" s="23">
        <v>0.63611111111111118</v>
      </c>
      <c r="Z41" s="51"/>
      <c r="AA41" s="23">
        <v>0.63611111111111118</v>
      </c>
      <c r="AB41" s="51"/>
      <c r="AC41" s="23">
        <v>0.63611111111111118</v>
      </c>
      <c r="AD41" s="51"/>
      <c r="AE41" s="23">
        <v>0.63611111111111118</v>
      </c>
      <c r="AF41" s="51"/>
      <c r="AG41" s="24">
        <v>0.63611111111111118</v>
      </c>
    </row>
    <row r="42" spans="2:33" s="1" customFormat="1" ht="16.5" thickBot="1" x14ac:dyDescent="0.3">
      <c r="B42" s="38" t="s">
        <v>13</v>
      </c>
      <c r="C42" s="41">
        <f>C41-C39</f>
        <v>2.083333333333337E-2</v>
      </c>
      <c r="D42" s="52"/>
      <c r="E42" s="41">
        <f>E41-E39</f>
        <v>2.083333333333337E-2</v>
      </c>
      <c r="F42" s="52"/>
      <c r="G42" s="41">
        <f>G41-G39</f>
        <v>2.083333333333337E-2</v>
      </c>
      <c r="H42" s="52"/>
      <c r="I42" s="41">
        <f>I41-I39</f>
        <v>2.083333333333337E-2</v>
      </c>
      <c r="J42" s="52"/>
      <c r="K42" s="41">
        <f>K41-K39</f>
        <v>2.083333333333337E-2</v>
      </c>
      <c r="L42" s="52"/>
      <c r="M42" s="41">
        <f>M41-M39</f>
        <v>2.083333333333337E-2</v>
      </c>
      <c r="N42" s="52"/>
      <c r="O42" s="41">
        <f>O41-O39</f>
        <v>2.083333333333337E-2</v>
      </c>
      <c r="P42" s="52"/>
      <c r="Q42" s="41">
        <f>Q41-Q39</f>
        <v>2.083333333333337E-2</v>
      </c>
      <c r="R42" s="52"/>
      <c r="S42" s="41">
        <f>S41-S39</f>
        <v>2.083333333333337E-2</v>
      </c>
      <c r="T42" s="89"/>
      <c r="U42" s="41">
        <f>U41-U39</f>
        <v>2.083333333333337E-2</v>
      </c>
      <c r="V42" s="52"/>
      <c r="W42" s="41">
        <f>W41-W39</f>
        <v>2.083333333333337E-2</v>
      </c>
      <c r="X42" s="52"/>
      <c r="Y42" s="41">
        <f>Y41-Y39</f>
        <v>2.083333333333337E-2</v>
      </c>
      <c r="Z42" s="52"/>
      <c r="AA42" s="41">
        <f>AA41-AA39</f>
        <v>2.083333333333337E-2</v>
      </c>
      <c r="AB42" s="52"/>
      <c r="AC42" s="41">
        <f>AC41-AC39</f>
        <v>2.083333333333337E-2</v>
      </c>
      <c r="AD42" s="52"/>
      <c r="AE42" s="41">
        <f>AE41-AE39</f>
        <v>2.083333333333337E-2</v>
      </c>
      <c r="AF42" s="52"/>
      <c r="AG42" s="42">
        <f>AG41-AG39</f>
        <v>2.083333333333337E-2</v>
      </c>
    </row>
    <row r="43" spans="2:33" s="1" customFormat="1" ht="15.75" x14ac:dyDescent="0.25">
      <c r="B43" s="73" t="s">
        <v>1</v>
      </c>
      <c r="C43" s="53">
        <v>1</v>
      </c>
      <c r="D43" s="53">
        <v>2</v>
      </c>
      <c r="E43" s="53">
        <v>3</v>
      </c>
      <c r="F43" s="53">
        <v>4</v>
      </c>
      <c r="G43" s="53">
        <v>5</v>
      </c>
      <c r="H43" s="53">
        <v>6</v>
      </c>
      <c r="I43" s="53">
        <v>7</v>
      </c>
      <c r="J43" s="53">
        <v>8</v>
      </c>
      <c r="K43" s="53">
        <v>9</v>
      </c>
      <c r="L43" s="53">
        <v>10</v>
      </c>
      <c r="M43" s="53">
        <v>11</v>
      </c>
      <c r="N43" s="53">
        <v>12</v>
      </c>
      <c r="O43" s="53">
        <v>13</v>
      </c>
      <c r="P43" s="53">
        <v>14</v>
      </c>
      <c r="Q43" s="53">
        <v>15</v>
      </c>
      <c r="R43" s="53">
        <v>16</v>
      </c>
      <c r="S43" s="53">
        <v>17</v>
      </c>
      <c r="T43" s="53">
        <v>18</v>
      </c>
      <c r="U43" s="53">
        <v>19</v>
      </c>
      <c r="V43" s="53">
        <v>20</v>
      </c>
      <c r="W43" s="53">
        <v>21</v>
      </c>
      <c r="X43" s="53">
        <v>22</v>
      </c>
      <c r="Y43" s="53">
        <v>23</v>
      </c>
      <c r="Z43" s="53">
        <v>24</v>
      </c>
      <c r="AA43" s="53">
        <v>25</v>
      </c>
      <c r="AB43" s="53">
        <v>26</v>
      </c>
      <c r="AC43" s="53">
        <v>27</v>
      </c>
      <c r="AD43" s="53">
        <v>28</v>
      </c>
      <c r="AE43" s="53">
        <v>29</v>
      </c>
      <c r="AF43" s="53">
        <v>30</v>
      </c>
      <c r="AG43" s="74">
        <v>31</v>
      </c>
    </row>
    <row r="44" spans="2:33" s="1" customFormat="1" ht="16.5" thickBot="1" x14ac:dyDescent="0.3">
      <c r="B44" s="11"/>
      <c r="C44" s="13" t="s">
        <v>6</v>
      </c>
      <c r="D44" s="14" t="s">
        <v>7</v>
      </c>
      <c r="E44" s="13" t="s">
        <v>8</v>
      </c>
      <c r="F44" s="14" t="s">
        <v>2</v>
      </c>
      <c r="G44" s="13" t="s">
        <v>3</v>
      </c>
      <c r="H44" s="14" t="s">
        <v>4</v>
      </c>
      <c r="I44" s="13" t="s">
        <v>5</v>
      </c>
      <c r="J44" s="14" t="s">
        <v>6</v>
      </c>
      <c r="K44" s="13" t="s">
        <v>7</v>
      </c>
      <c r="L44" s="14" t="s">
        <v>8</v>
      </c>
      <c r="M44" s="13" t="s">
        <v>2</v>
      </c>
      <c r="N44" s="14" t="s">
        <v>3</v>
      </c>
      <c r="O44" s="13" t="s">
        <v>4</v>
      </c>
      <c r="P44" s="14" t="s">
        <v>5</v>
      </c>
      <c r="Q44" s="13" t="s">
        <v>6</v>
      </c>
      <c r="R44" s="14" t="s">
        <v>7</v>
      </c>
      <c r="S44" s="13" t="s">
        <v>8</v>
      </c>
      <c r="T44" s="14" t="s">
        <v>2</v>
      </c>
      <c r="U44" s="13" t="s">
        <v>3</v>
      </c>
      <c r="V44" s="14" t="s">
        <v>4</v>
      </c>
      <c r="W44" s="13" t="s">
        <v>5</v>
      </c>
      <c r="X44" s="14" t="s">
        <v>6</v>
      </c>
      <c r="Y44" s="13" t="s">
        <v>7</v>
      </c>
      <c r="Z44" s="14" t="s">
        <v>8</v>
      </c>
      <c r="AA44" s="13" t="s">
        <v>2</v>
      </c>
      <c r="AB44" s="14" t="s">
        <v>3</v>
      </c>
      <c r="AC44" s="13" t="s">
        <v>4</v>
      </c>
      <c r="AD44" s="14" t="s">
        <v>5</v>
      </c>
      <c r="AE44" s="13" t="s">
        <v>6</v>
      </c>
      <c r="AF44" s="14" t="s">
        <v>7</v>
      </c>
      <c r="AG44" s="16" t="s">
        <v>8</v>
      </c>
    </row>
    <row r="45" spans="2:33" s="1" customFormat="1" ht="15.75" x14ac:dyDescent="0.25">
      <c r="B45" s="54"/>
      <c r="C45" s="55"/>
      <c r="D45" s="55"/>
      <c r="E45" s="56"/>
      <c r="F45" s="57"/>
      <c r="G45" s="55"/>
      <c r="H45" s="58"/>
      <c r="I45" s="55"/>
      <c r="J45" s="55"/>
      <c r="K45" s="55"/>
      <c r="L45" s="56"/>
      <c r="M45" s="57"/>
      <c r="N45" s="55"/>
      <c r="O45" s="55"/>
      <c r="P45" s="55"/>
      <c r="Q45" s="55"/>
      <c r="R45" s="55"/>
      <c r="S45" s="56"/>
    </row>
    <row r="46" spans="2:33" ht="18.75" x14ac:dyDescent="0.3">
      <c r="N46" s="60" t="s">
        <v>15</v>
      </c>
      <c r="O46" s="61"/>
      <c r="P46" s="61"/>
      <c r="Q46" s="61"/>
      <c r="R46" s="61"/>
      <c r="S46" s="61"/>
    </row>
    <row r="47" spans="2:33" x14ac:dyDescent="0.25">
      <c r="N47" s="61"/>
      <c r="O47" s="61"/>
      <c r="P47" s="61"/>
      <c r="Q47" s="61"/>
      <c r="R47" s="61"/>
      <c r="S47" s="61"/>
    </row>
    <row r="48" spans="2:33" ht="18.75" x14ac:dyDescent="0.3">
      <c r="N48" s="62" t="s">
        <v>21</v>
      </c>
      <c r="O48" s="62"/>
      <c r="P48" s="62"/>
      <c r="Q48" s="62"/>
      <c r="R48" s="62"/>
      <c r="S48" s="62"/>
    </row>
    <row r="49" spans="8:19" ht="18.75" x14ac:dyDescent="0.3">
      <c r="N49" s="60"/>
      <c r="O49" s="60"/>
      <c r="P49" s="60"/>
      <c r="Q49" s="60"/>
      <c r="R49" s="61"/>
      <c r="S49" s="61"/>
    </row>
    <row r="50" spans="8:19" ht="18.75" x14ac:dyDescent="0.3">
      <c r="N50" s="60"/>
      <c r="O50" s="60"/>
      <c r="P50" s="60"/>
      <c r="Q50" s="60"/>
      <c r="R50" s="61"/>
      <c r="S50" s="61"/>
    </row>
    <row r="51" spans="8:19" ht="18.75" x14ac:dyDescent="0.3">
      <c r="N51" s="62" t="s">
        <v>17</v>
      </c>
      <c r="O51" s="62"/>
      <c r="P51" s="62"/>
      <c r="Q51" s="62"/>
      <c r="R51" s="62"/>
      <c r="S51" s="62"/>
    </row>
    <row r="52" spans="8:19" x14ac:dyDescent="0.25">
      <c r="N52" s="61"/>
      <c r="O52" s="61"/>
      <c r="P52" s="61"/>
      <c r="Q52" s="61"/>
      <c r="R52" s="61"/>
      <c r="S52" s="61"/>
    </row>
    <row r="55" spans="8:19" x14ac:dyDescent="0.25">
      <c r="H55" s="59" t="s">
        <v>18</v>
      </c>
    </row>
  </sheetData>
  <mergeCells count="6">
    <mergeCell ref="J3:S3"/>
    <mergeCell ref="B6:B7"/>
    <mergeCell ref="B43:B44"/>
    <mergeCell ref="N48:S48"/>
    <mergeCell ref="N51:S51"/>
    <mergeCell ref="B5:A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 14.12.25</vt:lpstr>
      <vt:lpstr>январь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2025-12-12T12:06:14Z</dcterms:modified>
</cp:coreProperties>
</file>