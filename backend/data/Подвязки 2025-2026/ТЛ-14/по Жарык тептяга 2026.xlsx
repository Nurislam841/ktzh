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с 14.12.2025г" sheetId="3" r:id="rId1"/>
    <sheet name="январь 26" sheetId="4" r:id="rId2"/>
  </sheets>
  <calcPr calcId="152511" iterate="1"/>
</workbook>
</file>

<file path=xl/calcChain.xml><?xml version="1.0" encoding="utf-8"?>
<calcChain xmlns="http://schemas.openxmlformats.org/spreadsheetml/2006/main">
  <c r="E32" i="3" l="1"/>
  <c r="AG37" i="4"/>
  <c r="AE37" i="4"/>
  <c r="AC37" i="4"/>
  <c r="AA37" i="4"/>
  <c r="Y37" i="4"/>
  <c r="W37" i="4"/>
  <c r="U3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AG27" i="4"/>
  <c r="AE27" i="4"/>
  <c r="AC27" i="4"/>
  <c r="AA27" i="4"/>
  <c r="Y27" i="4"/>
  <c r="W27" i="4"/>
  <c r="U27" i="4"/>
  <c r="S27" i="4"/>
  <c r="Q27" i="4"/>
  <c r="O27" i="4"/>
  <c r="M27" i="4"/>
  <c r="K27" i="4"/>
  <c r="I27" i="4"/>
  <c r="G27" i="4"/>
  <c r="E27" i="4"/>
  <c r="S37" i="4"/>
  <c r="Q37" i="4"/>
  <c r="O37" i="4"/>
  <c r="M37" i="4"/>
  <c r="K37" i="4"/>
  <c r="I37" i="4"/>
  <c r="G37" i="4"/>
  <c r="E3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C27" i="4"/>
  <c r="D17" i="4"/>
  <c r="C17" i="4"/>
  <c r="T27" i="3"/>
  <c r="R27" i="3"/>
  <c r="P27" i="3"/>
  <c r="N27" i="3"/>
  <c r="L27" i="3"/>
  <c r="J27" i="3"/>
  <c r="H27" i="3"/>
  <c r="F27" i="3"/>
  <c r="D27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T17" i="3"/>
  <c r="S17" i="3"/>
  <c r="R17" i="3"/>
  <c r="Q17" i="3"/>
  <c r="P17" i="3"/>
  <c r="O17" i="3"/>
  <c r="T37" i="3"/>
  <c r="R37" i="3"/>
  <c r="P37" i="3"/>
  <c r="N37" i="3"/>
  <c r="L37" i="3"/>
  <c r="J37" i="3"/>
  <c r="H37" i="3"/>
  <c r="F37" i="3"/>
  <c r="N17" i="3"/>
  <c r="M17" i="3"/>
  <c r="L17" i="3"/>
  <c r="K17" i="3"/>
  <c r="J17" i="3"/>
  <c r="I17" i="3"/>
  <c r="H17" i="3"/>
  <c r="G17" i="3"/>
  <c r="F17" i="3"/>
  <c r="E17" i="3"/>
  <c r="D37" i="3" l="1"/>
  <c r="C17" i="3"/>
  <c r="F32" i="3"/>
  <c r="D32" i="3"/>
  <c r="D17" i="3"/>
</calcChain>
</file>

<file path=xl/sharedStrings.xml><?xml version="1.0" encoding="utf-8"?>
<sst xmlns="http://schemas.openxmlformats.org/spreadsheetml/2006/main" count="382" uniqueCount="22">
  <si>
    <t>вс</t>
  </si>
  <si>
    <t>пн</t>
  </si>
  <si>
    <t>вт</t>
  </si>
  <si>
    <t>ср</t>
  </si>
  <si>
    <t>чт</t>
  </si>
  <si>
    <t>пт</t>
  </si>
  <si>
    <t>сб</t>
  </si>
  <si>
    <t>отцепка лок-ва от поезда</t>
  </si>
  <si>
    <t>вр.прибытие поезда</t>
  </si>
  <si>
    <t>прицепка лок-ва к поезду</t>
  </si>
  <si>
    <t>время отправления поезда</t>
  </si>
  <si>
    <t>время простоя локомотива</t>
  </si>
  <si>
    <t>резервом</t>
  </si>
  <si>
    <t>Декабрь</t>
  </si>
  <si>
    <t>Январь</t>
  </si>
  <si>
    <t>"Утверждаю"</t>
  </si>
  <si>
    <t>ТЧЭ-15 Жанаарка________________Салжанов А.Р.</t>
  </si>
  <si>
    <t>наименование операций</t>
  </si>
  <si>
    <t>под 66</t>
  </si>
  <si>
    <t>в Ж-Арка</t>
  </si>
  <si>
    <t>с Ж-Арки</t>
  </si>
  <si>
    <t>"_______"___________________2026 год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</si>
</sst>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400]h:mm:ss\ AM/PM"/>
  </numFmts>
  <fonts count="17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1"/>
      <name val="Times New Roman"/>
      <family val="1"/>
      <charset val="204"/>
    </font>
    <font>
      <b/>
      <i/>
      <sz val="12"/>
      <color rgb="FFFF0000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i/>
      <sz val="11"/>
      <color rgb="FFFF0000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sz val="1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3" fillId="0" borderId="0" xfId="0" applyFont="1"/>
    <xf numFmtId="0" fontId="2" fillId="0" borderId="0" xfId="0" applyFont="1"/>
    <xf numFmtId="0" fontId="2" fillId="2" borderId="16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2" fillId="2" borderId="9" xfId="0" applyFont="1" applyFill="1" applyBorder="1"/>
    <xf numFmtId="20" fontId="8" fillId="2" borderId="12" xfId="0" applyNumberFormat="1" applyFont="1" applyFill="1" applyBorder="1" applyAlignment="1">
      <alignment horizontal="center"/>
    </xf>
    <xf numFmtId="20" fontId="8" fillId="2" borderId="14" xfId="0" applyNumberFormat="1" applyFont="1" applyFill="1" applyBorder="1" applyAlignment="1">
      <alignment horizontal="center"/>
    </xf>
    <xf numFmtId="0" fontId="1" fillId="2" borderId="10" xfId="0" applyFont="1" applyFill="1" applyBorder="1" applyAlignment="1">
      <alignment horizontal="left"/>
    </xf>
    <xf numFmtId="0" fontId="2" fillId="2" borderId="10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left"/>
    </xf>
    <xf numFmtId="0" fontId="7" fillId="2" borderId="5" xfId="0" applyFont="1" applyFill="1" applyBorder="1"/>
    <xf numFmtId="20" fontId="6" fillId="2" borderId="9" xfId="0" applyNumberFormat="1" applyFont="1" applyFill="1" applyBorder="1" applyAlignment="1">
      <alignment horizontal="center"/>
    </xf>
    <xf numFmtId="20" fontId="8" fillId="2" borderId="6" xfId="0" applyNumberFormat="1" applyFont="1" applyFill="1" applyBorder="1" applyAlignment="1">
      <alignment horizontal="center"/>
    </xf>
    <xf numFmtId="0" fontId="10" fillId="2" borderId="10" xfId="0" applyFont="1" applyFill="1" applyBorder="1" applyAlignment="1">
      <alignment horizontal="right"/>
    </xf>
    <xf numFmtId="20" fontId="6" fillId="2" borderId="11" xfId="0" applyNumberFormat="1" applyFont="1" applyFill="1" applyBorder="1" applyAlignment="1">
      <alignment horizontal="center"/>
    </xf>
    <xf numFmtId="0" fontId="2" fillId="2" borderId="11" xfId="0" applyFont="1" applyFill="1" applyBorder="1"/>
    <xf numFmtId="0" fontId="8" fillId="2" borderId="9" xfId="0" applyFont="1" applyFill="1" applyBorder="1" applyAlignment="1">
      <alignment horizontal="center"/>
    </xf>
    <xf numFmtId="20" fontId="11" fillId="2" borderId="9" xfId="0" applyNumberFormat="1" applyFont="1" applyFill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10" fillId="0" borderId="0" xfId="0" applyFont="1"/>
    <xf numFmtId="0" fontId="1" fillId="0" borderId="2" xfId="0" applyFont="1" applyBorder="1" applyAlignment="1">
      <alignment horizontal="left"/>
    </xf>
    <xf numFmtId="0" fontId="14" fillId="2" borderId="3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left"/>
    </xf>
    <xf numFmtId="0" fontId="14" fillId="2" borderId="4" xfId="0" applyFont="1" applyFill="1" applyBorder="1" applyAlignment="1">
      <alignment horizontal="center"/>
    </xf>
    <xf numFmtId="0" fontId="2" fillId="0" borderId="10" xfId="0" applyFont="1" applyBorder="1" applyAlignment="1">
      <alignment horizontal="right"/>
    </xf>
    <xf numFmtId="164" fontId="6" fillId="2" borderId="9" xfId="0" applyNumberFormat="1" applyFont="1" applyFill="1" applyBorder="1" applyAlignment="1">
      <alignment horizontal="center" wrapText="1"/>
    </xf>
    <xf numFmtId="164" fontId="6" fillId="2" borderId="11" xfId="0" applyNumberFormat="1" applyFont="1" applyFill="1" applyBorder="1" applyAlignment="1">
      <alignment horizontal="center" wrapText="1"/>
    </xf>
    <xf numFmtId="0" fontId="1" fillId="0" borderId="10" xfId="0" applyFont="1" applyBorder="1" applyAlignment="1">
      <alignment horizontal="left"/>
    </xf>
    <xf numFmtId="0" fontId="14" fillId="2" borderId="9" xfId="0" applyNumberFormat="1" applyFont="1" applyFill="1" applyBorder="1" applyAlignment="1">
      <alignment horizontal="center"/>
    </xf>
    <xf numFmtId="0" fontId="15" fillId="2" borderId="9" xfId="0" applyFont="1" applyFill="1" applyBorder="1" applyAlignment="1">
      <alignment horizontal="center"/>
    </xf>
    <xf numFmtId="20" fontId="14" fillId="2" borderId="9" xfId="0" applyNumberFormat="1" applyFont="1" applyFill="1" applyBorder="1" applyAlignment="1">
      <alignment horizontal="center"/>
    </xf>
    <xf numFmtId="0" fontId="2" fillId="2" borderId="9" xfId="0" applyFont="1" applyFill="1" applyBorder="1" applyAlignment="1">
      <alignment horizontal="right"/>
    </xf>
    <xf numFmtId="20" fontId="11" fillId="2" borderId="6" xfId="0" applyNumberFormat="1" applyFont="1" applyFill="1" applyBorder="1" applyAlignment="1">
      <alignment horizontal="center"/>
    </xf>
    <xf numFmtId="0" fontId="2" fillId="2" borderId="6" xfId="0" applyFont="1" applyFill="1" applyBorder="1"/>
    <xf numFmtId="0" fontId="2" fillId="2" borderId="7" xfId="0" applyFont="1" applyFill="1" applyBorder="1"/>
    <xf numFmtId="0" fontId="8" fillId="2" borderId="9" xfId="0" applyNumberFormat="1" applyFont="1" applyFill="1" applyBorder="1" applyAlignment="1">
      <alignment horizontal="center"/>
    </xf>
    <xf numFmtId="0" fontId="14" fillId="2" borderId="11" xfId="0" applyNumberFormat="1" applyFont="1" applyFill="1" applyBorder="1" applyAlignment="1">
      <alignment horizontal="center"/>
    </xf>
    <xf numFmtId="0" fontId="12" fillId="2" borderId="9" xfId="0" applyFont="1" applyFill="1" applyBorder="1" applyAlignment="1">
      <alignment horizontal="center"/>
    </xf>
    <xf numFmtId="0" fontId="7" fillId="0" borderId="5" xfId="0" applyFont="1" applyBorder="1"/>
    <xf numFmtId="0" fontId="12" fillId="2" borderId="6" xfId="0" applyFont="1" applyFill="1" applyBorder="1" applyAlignment="1">
      <alignment horizontal="center"/>
    </xf>
    <xf numFmtId="20" fontId="8" fillId="2" borderId="7" xfId="0" applyNumberFormat="1" applyFont="1" applyFill="1" applyBorder="1" applyAlignment="1">
      <alignment horizontal="center"/>
    </xf>
    <xf numFmtId="0" fontId="14" fillId="2" borderId="3" xfId="0" applyFont="1" applyFill="1" applyBorder="1" applyAlignment="1">
      <alignment horizontal="center" wrapText="1"/>
    </xf>
    <xf numFmtId="0" fontId="14" fillId="2" borderId="4" xfId="0" applyFont="1" applyFill="1" applyBorder="1" applyAlignment="1">
      <alignment horizontal="center" wrapText="1"/>
    </xf>
    <xf numFmtId="0" fontId="2" fillId="0" borderId="0" xfId="0" applyFont="1" applyAlignment="1">
      <alignment horizontal="left"/>
    </xf>
    <xf numFmtId="0" fontId="10" fillId="2" borderId="0" xfId="0" applyFont="1" applyFill="1" applyAlignment="1">
      <alignment horizontal="left"/>
    </xf>
    <xf numFmtId="0" fontId="2" fillId="0" borderId="0" xfId="0" applyFont="1" applyAlignment="1">
      <alignment horizontal="right"/>
    </xf>
    <xf numFmtId="0" fontId="3" fillId="2" borderId="9" xfId="0" applyFont="1" applyFill="1" applyBorder="1" applyAlignment="1">
      <alignment horizontal="center"/>
    </xf>
    <xf numFmtId="0" fontId="14" fillId="2" borderId="8" xfId="0" applyFont="1" applyFill="1" applyBorder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right"/>
    </xf>
    <xf numFmtId="164" fontId="14" fillId="2" borderId="9" xfId="0" applyNumberFormat="1" applyFont="1" applyFill="1" applyBorder="1" applyAlignment="1">
      <alignment horizontal="center"/>
    </xf>
    <xf numFmtId="164" fontId="14" fillId="2" borderId="11" xfId="0" applyNumberFormat="1" applyFont="1" applyFill="1" applyBorder="1" applyAlignment="1">
      <alignment horizontal="center"/>
    </xf>
    <xf numFmtId="20" fontId="8" fillId="2" borderId="9" xfId="0" applyNumberFormat="1" applyFont="1" applyFill="1" applyBorder="1" applyAlignment="1">
      <alignment horizontal="center"/>
    </xf>
    <xf numFmtId="0" fontId="9" fillId="2" borderId="9" xfId="0" applyFont="1" applyFill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20" fontId="16" fillId="2" borderId="9" xfId="0" applyNumberFormat="1" applyFont="1" applyFill="1" applyBorder="1" applyAlignment="1">
      <alignment horizontal="center"/>
    </xf>
    <xf numFmtId="0" fontId="14" fillId="2" borderId="9" xfId="0" applyNumberFormat="1" applyFont="1" applyFill="1" applyBorder="1" applyAlignment="1"/>
    <xf numFmtId="0" fontId="14" fillId="2" borderId="11" xfId="0" applyNumberFormat="1" applyFont="1" applyFill="1" applyBorder="1" applyAlignment="1"/>
    <xf numFmtId="0" fontId="15" fillId="0" borderId="2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5" fillId="3" borderId="18" xfId="0" applyFont="1" applyFill="1" applyBorder="1" applyAlignment="1">
      <alignment horizontal="center" vertical="center"/>
    </xf>
    <xf numFmtId="0" fontId="15" fillId="3" borderId="0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left"/>
    </xf>
    <xf numFmtId="0" fontId="10" fillId="2" borderId="9" xfId="0" applyFont="1" applyFill="1" applyBorder="1" applyAlignment="1">
      <alignment horizontal="left"/>
    </xf>
    <xf numFmtId="0" fontId="2" fillId="0" borderId="9" xfId="0" applyFont="1" applyBorder="1" applyAlignment="1">
      <alignment horizontal="right"/>
    </xf>
    <xf numFmtId="0" fontId="4" fillId="2" borderId="12" xfId="0" applyFont="1" applyFill="1" applyBorder="1" applyAlignment="1">
      <alignment horizontal="center"/>
    </xf>
    <xf numFmtId="0" fontId="2" fillId="0" borderId="9" xfId="0" applyFont="1" applyBorder="1"/>
    <xf numFmtId="0" fontId="1" fillId="0" borderId="1" xfId="0" applyFont="1" applyBorder="1" applyAlignment="1">
      <alignment horizontal="left"/>
    </xf>
    <xf numFmtId="0" fontId="2" fillId="0" borderId="8" xfId="0" applyFont="1" applyBorder="1"/>
    <xf numFmtId="0" fontId="15" fillId="2" borderId="2" xfId="0" applyFont="1" applyFill="1" applyBorder="1" applyAlignment="1">
      <alignment horizontal="center" vertical="center"/>
    </xf>
    <xf numFmtId="0" fontId="10" fillId="0" borderId="19" xfId="0" applyFont="1" applyBorder="1"/>
    <xf numFmtId="0" fontId="15" fillId="2" borderId="5" xfId="0" applyFont="1" applyFill="1" applyBorder="1" applyAlignment="1">
      <alignment horizontal="center" vertical="center"/>
    </xf>
    <xf numFmtId="0" fontId="2" fillId="0" borderId="20" xfId="0" applyFont="1" applyBorder="1"/>
    <xf numFmtId="0" fontId="2" fillId="2" borderId="3" xfId="0" applyFont="1" applyFill="1" applyBorder="1"/>
    <xf numFmtId="0" fontId="8" fillId="2" borderId="11" xfId="0" applyNumberFormat="1" applyFont="1" applyFill="1" applyBorder="1" applyAlignment="1">
      <alignment horizontal="center"/>
    </xf>
    <xf numFmtId="0" fontId="7" fillId="0" borderId="13" xfId="0" applyFont="1" applyBorder="1"/>
    <xf numFmtId="0" fontId="12" fillId="2" borderId="3" xfId="0" applyFont="1" applyFill="1" applyBorder="1" applyAlignment="1">
      <alignment horizontal="center"/>
    </xf>
    <xf numFmtId="0" fontId="2" fillId="0" borderId="8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164" fontId="12" fillId="2" borderId="9" xfId="0" applyNumberFormat="1" applyFont="1" applyFill="1" applyBorder="1" applyAlignment="1">
      <alignment horizontal="center" wrapText="1"/>
    </xf>
    <xf numFmtId="0" fontId="13" fillId="2" borderId="9" xfId="0" applyFont="1" applyFill="1" applyBorder="1" applyAlignment="1">
      <alignment horizontal="right"/>
    </xf>
    <xf numFmtId="0" fontId="10" fillId="2" borderId="9" xfId="0" applyFont="1" applyFill="1" applyBorder="1" applyAlignment="1">
      <alignment horizontal="right"/>
    </xf>
    <xf numFmtId="0" fontId="15" fillId="2" borderId="13" xfId="0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14" fillId="2" borderId="8" xfId="0" applyNumberFormat="1" applyFont="1" applyFill="1" applyBorder="1" applyAlignment="1"/>
    <xf numFmtId="0" fontId="2" fillId="0" borderId="12" xfId="0" applyFont="1" applyBorder="1"/>
    <xf numFmtId="0" fontId="12" fillId="2" borderId="3" xfId="0" applyNumberFormat="1" applyFont="1" applyFill="1" applyBorder="1" applyAlignment="1">
      <alignment horizontal="center"/>
    </xf>
    <xf numFmtId="0" fontId="2" fillId="2" borderId="21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20" fontId="14" fillId="2" borderId="11" xfId="0" applyNumberFormat="1" applyFont="1" applyFill="1" applyBorder="1" applyAlignment="1">
      <alignment horizontal="center"/>
    </xf>
    <xf numFmtId="0" fontId="14" fillId="2" borderId="15" xfId="0" applyFont="1" applyFill="1" applyBorder="1" applyAlignment="1">
      <alignment horizontal="center"/>
    </xf>
    <xf numFmtId="0" fontId="14" fillId="2" borderId="15" xfId="0" applyNumberFormat="1" applyFont="1" applyFill="1" applyBorder="1" applyAlignment="1"/>
    <xf numFmtId="20" fontId="11" fillId="2" borderId="7" xfId="0" applyNumberFormat="1" applyFont="1" applyFill="1" applyBorder="1" applyAlignment="1">
      <alignment horizontal="center"/>
    </xf>
    <xf numFmtId="0" fontId="15" fillId="4" borderId="22" xfId="0" applyFont="1" applyFill="1" applyBorder="1" applyAlignment="1">
      <alignment horizontal="center" vertical="center"/>
    </xf>
    <xf numFmtId="0" fontId="15" fillId="4" borderId="23" xfId="0" applyFont="1" applyFill="1" applyBorder="1" applyAlignment="1">
      <alignment horizontal="center" vertical="center"/>
    </xf>
    <xf numFmtId="0" fontId="15" fillId="4" borderId="24" xfId="0" applyFont="1" applyFill="1" applyBorder="1" applyAlignment="1">
      <alignment horizontal="center" vertical="center"/>
    </xf>
    <xf numFmtId="0" fontId="2" fillId="0" borderId="3" xfId="0" applyFont="1" applyBorder="1"/>
    <xf numFmtId="0" fontId="2" fillId="2" borderId="4" xfId="0" applyFont="1" applyFill="1" applyBorder="1"/>
    <xf numFmtId="20" fontId="16" fillId="2" borderId="11" xfId="0" applyNumberFormat="1" applyFont="1" applyFill="1" applyBorder="1" applyAlignment="1">
      <alignment horizontal="center"/>
    </xf>
    <xf numFmtId="0" fontId="8" fillId="2" borderId="3" xfId="0" applyNumberFormat="1" applyFont="1" applyFill="1" applyBorder="1" applyAlignment="1">
      <alignment horizontal="center"/>
    </xf>
    <xf numFmtId="0" fontId="8" fillId="2" borderId="4" xfId="0" applyNumberFormat="1" applyFont="1" applyFill="1" applyBorder="1" applyAlignment="1">
      <alignment horizontal="center"/>
    </xf>
    <xf numFmtId="0" fontId="8" fillId="2" borderId="11" xfId="0" applyFont="1" applyFill="1" applyBorder="1" applyAlignment="1">
      <alignment horizontal="center"/>
    </xf>
    <xf numFmtId="0" fontId="6" fillId="2" borderId="3" xfId="0" applyNumberFormat="1" applyFont="1" applyFill="1" applyBorder="1" applyAlignment="1">
      <alignment horizontal="center"/>
    </xf>
    <xf numFmtId="0" fontId="6" fillId="2" borderId="4" xfId="0" applyNumberFormat="1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10" fillId="0" borderId="9" xfId="0" applyFont="1" applyBorder="1" applyAlignment="1">
      <alignment horizontal="right"/>
    </xf>
    <xf numFmtId="0" fontId="6" fillId="2" borderId="9" xfId="0" applyNumberFormat="1" applyFont="1" applyFill="1" applyBorder="1" applyAlignment="1">
      <alignment horizontal="center"/>
    </xf>
    <xf numFmtId="0" fontId="6" fillId="2" borderId="11" xfId="0" applyNumberFormat="1" applyFont="1" applyFill="1" applyBorder="1" applyAlignment="1">
      <alignment horizontal="center"/>
    </xf>
    <xf numFmtId="0" fontId="10" fillId="0" borderId="9" xfId="0" applyFont="1" applyBorder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2"/>
  <sheetViews>
    <sheetView topLeftCell="A10" workbookViewId="0">
      <selection activeCell="C45" sqref="C45"/>
    </sheetView>
  </sheetViews>
  <sheetFormatPr defaultRowHeight="15" x14ac:dyDescent="0.25"/>
  <cols>
    <col min="1" max="1" width="4.140625" customWidth="1"/>
    <col min="2" max="2" width="32.140625" customWidth="1"/>
    <col min="3" max="3" width="14" style="1" customWidth="1"/>
    <col min="4" max="17" width="15.7109375" style="1" customWidth="1"/>
    <col min="18" max="18" width="15.28515625" customWidth="1"/>
    <col min="19" max="19" width="12.7109375" customWidth="1"/>
    <col min="20" max="20" width="12.85546875" customWidth="1"/>
  </cols>
  <sheetData>
    <row r="1" spans="1:21" x14ac:dyDescent="0.25">
      <c r="L1" s="1" t="s">
        <v>15</v>
      </c>
    </row>
    <row r="2" spans="1:21" x14ac:dyDescent="0.25">
      <c r="K2" s="1" t="s">
        <v>16</v>
      </c>
    </row>
    <row r="3" spans="1:21" ht="15.75" x14ac:dyDescent="0.25">
      <c r="A3" s="2"/>
      <c r="B3" s="2"/>
      <c r="K3" s="1" t="s">
        <v>21</v>
      </c>
    </row>
    <row r="4" spans="1:21" ht="15.75" x14ac:dyDescent="0.25">
      <c r="A4" s="2"/>
      <c r="B4" s="2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</row>
    <row r="5" spans="1:21" s="2" customFormat="1" ht="16.5" thickBot="1" x14ac:dyDescent="0.3">
      <c r="B5" s="67" t="s">
        <v>13</v>
      </c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</row>
    <row r="6" spans="1:21" s="25" customFormat="1" ht="15.75" x14ac:dyDescent="0.25">
      <c r="B6" s="76" t="s">
        <v>17</v>
      </c>
      <c r="C6" s="3">
        <v>14</v>
      </c>
      <c r="D6" s="4">
        <v>15</v>
      </c>
      <c r="E6" s="4">
        <v>16</v>
      </c>
      <c r="F6" s="4">
        <v>17</v>
      </c>
      <c r="G6" s="4">
        <v>18</v>
      </c>
      <c r="H6" s="4">
        <v>19</v>
      </c>
      <c r="I6" s="4">
        <v>20</v>
      </c>
      <c r="J6" s="4">
        <v>21</v>
      </c>
      <c r="K6" s="4">
        <v>22</v>
      </c>
      <c r="L6" s="4">
        <v>23</v>
      </c>
      <c r="M6" s="4">
        <v>24</v>
      </c>
      <c r="N6" s="4">
        <v>25</v>
      </c>
      <c r="O6" s="4">
        <v>26</v>
      </c>
      <c r="P6" s="4">
        <v>27</v>
      </c>
      <c r="Q6" s="4">
        <v>28</v>
      </c>
      <c r="R6" s="4">
        <v>29</v>
      </c>
      <c r="S6" s="4">
        <v>30</v>
      </c>
      <c r="T6" s="5">
        <v>31</v>
      </c>
      <c r="U6" s="77"/>
    </row>
    <row r="7" spans="1:21" s="2" customFormat="1" ht="16.5" thickBot="1" x14ac:dyDescent="0.3">
      <c r="B7" s="78"/>
      <c r="C7" s="6" t="s">
        <v>0</v>
      </c>
      <c r="D7" s="7" t="s">
        <v>1</v>
      </c>
      <c r="E7" s="7" t="s">
        <v>2</v>
      </c>
      <c r="F7" s="7" t="s">
        <v>3</v>
      </c>
      <c r="G7" s="7" t="s">
        <v>4</v>
      </c>
      <c r="H7" s="7" t="s">
        <v>5</v>
      </c>
      <c r="I7" s="8" t="s">
        <v>6</v>
      </c>
      <c r="J7" s="8" t="s">
        <v>0</v>
      </c>
      <c r="K7" s="7" t="s">
        <v>1</v>
      </c>
      <c r="L7" s="7" t="s">
        <v>2</v>
      </c>
      <c r="M7" s="7" t="s">
        <v>3</v>
      </c>
      <c r="N7" s="7" t="s">
        <v>4</v>
      </c>
      <c r="O7" s="7" t="s">
        <v>5</v>
      </c>
      <c r="P7" s="7" t="s">
        <v>6</v>
      </c>
      <c r="Q7" s="7" t="s">
        <v>0</v>
      </c>
      <c r="R7" s="7" t="s">
        <v>1</v>
      </c>
      <c r="S7" s="7" t="s">
        <v>2</v>
      </c>
      <c r="T7" s="9" t="s">
        <v>3</v>
      </c>
      <c r="U7" s="79"/>
    </row>
    <row r="8" spans="1:21" s="2" customFormat="1" ht="15.75" x14ac:dyDescent="0.25">
      <c r="B8" s="26" t="s">
        <v>7</v>
      </c>
      <c r="C8" s="80"/>
      <c r="D8" s="80"/>
      <c r="E8" s="80"/>
      <c r="F8" s="47">
        <v>65</v>
      </c>
      <c r="G8" s="80"/>
      <c r="H8" s="47">
        <v>65</v>
      </c>
      <c r="I8" s="80"/>
      <c r="J8" s="47">
        <v>65</v>
      </c>
      <c r="K8" s="80"/>
      <c r="L8" s="47">
        <v>65</v>
      </c>
      <c r="M8" s="80"/>
      <c r="N8" s="47">
        <v>65</v>
      </c>
      <c r="O8" s="80"/>
      <c r="P8" s="47">
        <v>65</v>
      </c>
      <c r="Q8" s="80"/>
      <c r="R8" s="47">
        <v>65</v>
      </c>
      <c r="S8" s="80"/>
      <c r="T8" s="48">
        <v>65</v>
      </c>
    </row>
    <row r="9" spans="1:21" s="2" customFormat="1" ht="15.75" x14ac:dyDescent="0.25">
      <c r="B9" s="30" t="s">
        <v>8</v>
      </c>
      <c r="C9" s="10"/>
      <c r="D9" s="10"/>
      <c r="E9" s="10"/>
      <c r="F9" s="31">
        <v>0.28750000000000003</v>
      </c>
      <c r="G9" s="10"/>
      <c r="H9" s="31">
        <v>0.28750000000000003</v>
      </c>
      <c r="I9" s="10"/>
      <c r="J9" s="31">
        <v>0.28750000000000003</v>
      </c>
      <c r="K9" s="10"/>
      <c r="L9" s="31">
        <v>0.28750000000000003</v>
      </c>
      <c r="M9" s="10"/>
      <c r="N9" s="31">
        <v>0.28750000000000003</v>
      </c>
      <c r="O9" s="10"/>
      <c r="P9" s="31">
        <v>0.28750000000000003</v>
      </c>
      <c r="Q9" s="10"/>
      <c r="R9" s="31">
        <v>0.28750000000000003</v>
      </c>
      <c r="S9" s="10"/>
      <c r="T9" s="32">
        <v>0.28750000000000003</v>
      </c>
    </row>
    <row r="10" spans="1:21" s="2" customFormat="1" ht="15.75" x14ac:dyDescent="0.25">
      <c r="B10" s="33" t="s">
        <v>9</v>
      </c>
      <c r="C10" s="34"/>
      <c r="D10" s="10"/>
      <c r="E10" s="34"/>
      <c r="F10" s="41" t="s">
        <v>12</v>
      </c>
      <c r="G10" s="34"/>
      <c r="H10" s="41" t="s">
        <v>12</v>
      </c>
      <c r="I10" s="41"/>
      <c r="J10" s="41" t="s">
        <v>12</v>
      </c>
      <c r="K10" s="41"/>
      <c r="L10" s="41" t="s">
        <v>12</v>
      </c>
      <c r="M10" s="41"/>
      <c r="N10" s="41" t="s">
        <v>12</v>
      </c>
      <c r="O10" s="41"/>
      <c r="P10" s="41" t="s">
        <v>12</v>
      </c>
      <c r="Q10" s="34"/>
      <c r="R10" s="41" t="s">
        <v>12</v>
      </c>
      <c r="S10" s="34"/>
      <c r="T10" s="81" t="s">
        <v>12</v>
      </c>
    </row>
    <row r="11" spans="1:21" s="2" customFormat="1" ht="15.75" x14ac:dyDescent="0.25">
      <c r="B11" s="30" t="s">
        <v>10</v>
      </c>
      <c r="C11" s="36"/>
      <c r="D11" s="37"/>
      <c r="E11" s="36"/>
      <c r="F11" s="86" t="s">
        <v>19</v>
      </c>
      <c r="G11" s="36"/>
      <c r="H11" s="86" t="s">
        <v>19</v>
      </c>
      <c r="I11" s="58"/>
      <c r="J11" s="86" t="s">
        <v>19</v>
      </c>
      <c r="K11" s="58"/>
      <c r="L11" s="86" t="s">
        <v>19</v>
      </c>
      <c r="M11" s="58"/>
      <c r="N11" s="86" t="s">
        <v>19</v>
      </c>
      <c r="O11" s="58"/>
      <c r="P11" s="86" t="s">
        <v>19</v>
      </c>
      <c r="Q11" s="36"/>
      <c r="R11" s="31" t="s">
        <v>19</v>
      </c>
      <c r="S11" s="36"/>
      <c r="T11" s="32" t="s">
        <v>19</v>
      </c>
    </row>
    <row r="12" spans="1:21" s="2" customFormat="1" ht="16.5" thickBot="1" x14ac:dyDescent="0.3">
      <c r="B12" s="16" t="s">
        <v>11</v>
      </c>
      <c r="C12" s="38"/>
      <c r="D12" s="39"/>
      <c r="E12" s="38"/>
      <c r="F12" s="39"/>
      <c r="G12" s="38"/>
      <c r="H12" s="39"/>
      <c r="I12" s="38"/>
      <c r="J12" s="39"/>
      <c r="K12" s="38"/>
      <c r="L12" s="39"/>
      <c r="M12" s="38"/>
      <c r="N12" s="39"/>
      <c r="O12" s="38"/>
      <c r="P12" s="39"/>
      <c r="Q12" s="38"/>
      <c r="R12" s="39"/>
      <c r="S12" s="38"/>
      <c r="T12" s="40"/>
    </row>
    <row r="13" spans="1:21" s="2" customFormat="1" ht="15.75" x14ac:dyDescent="0.25">
      <c r="B13" s="74" t="s">
        <v>7</v>
      </c>
      <c r="C13" s="53">
        <v>107</v>
      </c>
      <c r="D13" s="53">
        <v>107</v>
      </c>
      <c r="E13" s="53">
        <v>107</v>
      </c>
      <c r="F13" s="53">
        <v>107</v>
      </c>
      <c r="G13" s="53">
        <v>107</v>
      </c>
      <c r="H13" s="53">
        <v>107</v>
      </c>
      <c r="I13" s="53">
        <v>107</v>
      </c>
      <c r="J13" s="53">
        <v>107</v>
      </c>
      <c r="K13" s="53">
        <v>107</v>
      </c>
      <c r="L13" s="53">
        <v>107</v>
      </c>
      <c r="M13" s="53">
        <v>107</v>
      </c>
      <c r="N13" s="53">
        <v>107</v>
      </c>
      <c r="O13" s="53">
        <v>107</v>
      </c>
      <c r="P13" s="53">
        <v>107</v>
      </c>
      <c r="Q13" s="53">
        <v>107</v>
      </c>
      <c r="R13" s="53">
        <v>107</v>
      </c>
      <c r="S13" s="53">
        <v>107</v>
      </c>
      <c r="T13" s="53">
        <v>107</v>
      </c>
    </row>
    <row r="14" spans="1:21" s="2" customFormat="1" ht="15.75" x14ac:dyDescent="0.25">
      <c r="B14" s="19" t="s">
        <v>8</v>
      </c>
      <c r="C14" s="31">
        <v>0.17569444444444446</v>
      </c>
      <c r="D14" s="31">
        <v>0.17569444444444446</v>
      </c>
      <c r="E14" s="31">
        <v>0.17569444444444446</v>
      </c>
      <c r="F14" s="31">
        <v>0.17569444444444446</v>
      </c>
      <c r="G14" s="31">
        <v>0.17569444444444446</v>
      </c>
      <c r="H14" s="31">
        <v>0.17569444444444446</v>
      </c>
      <c r="I14" s="31">
        <v>0.17569444444444446</v>
      </c>
      <c r="J14" s="31">
        <v>0.17569444444444446</v>
      </c>
      <c r="K14" s="31">
        <v>0.17569444444444446</v>
      </c>
      <c r="L14" s="31">
        <v>0.17569444444444446</v>
      </c>
      <c r="M14" s="31">
        <v>0.17569444444444446</v>
      </c>
      <c r="N14" s="31">
        <v>0.17569444444444446</v>
      </c>
      <c r="O14" s="31">
        <v>0.17569444444444446</v>
      </c>
      <c r="P14" s="31">
        <v>0.17569444444444446</v>
      </c>
      <c r="Q14" s="31">
        <v>0.17569444444444446</v>
      </c>
      <c r="R14" s="31">
        <v>0.17569444444444446</v>
      </c>
      <c r="S14" s="31">
        <v>0.17569444444444446</v>
      </c>
      <c r="T14" s="31">
        <v>0.17569444444444446</v>
      </c>
    </row>
    <row r="15" spans="1:21" s="2" customFormat="1" ht="15.75" x14ac:dyDescent="0.25">
      <c r="B15" s="33" t="s">
        <v>9</v>
      </c>
      <c r="C15" s="34">
        <v>74</v>
      </c>
      <c r="D15" s="34">
        <v>118</v>
      </c>
      <c r="E15" s="34">
        <v>74</v>
      </c>
      <c r="F15" s="34">
        <v>118</v>
      </c>
      <c r="G15" s="34">
        <v>74</v>
      </c>
      <c r="H15" s="34">
        <v>118</v>
      </c>
      <c r="I15" s="34">
        <v>74</v>
      </c>
      <c r="J15" s="34">
        <v>118</v>
      </c>
      <c r="K15" s="34">
        <v>74</v>
      </c>
      <c r="L15" s="34">
        <v>118</v>
      </c>
      <c r="M15" s="34">
        <v>74</v>
      </c>
      <c r="N15" s="34">
        <v>118</v>
      </c>
      <c r="O15" s="34">
        <v>74</v>
      </c>
      <c r="P15" s="34">
        <v>118</v>
      </c>
      <c r="Q15" s="34">
        <v>74</v>
      </c>
      <c r="R15" s="34">
        <v>118</v>
      </c>
      <c r="S15" s="34">
        <v>74</v>
      </c>
      <c r="T15" s="34">
        <v>118</v>
      </c>
    </row>
    <row r="16" spans="1:21" s="2" customFormat="1" ht="15.75" x14ac:dyDescent="0.25">
      <c r="B16" s="30" t="s">
        <v>10</v>
      </c>
      <c r="C16" s="31">
        <v>0.33333333333333331</v>
      </c>
      <c r="D16" s="31">
        <v>0.26041666666666669</v>
      </c>
      <c r="E16" s="56">
        <v>45647.333333333336</v>
      </c>
      <c r="F16" s="31">
        <v>0.26041666666666669</v>
      </c>
      <c r="G16" s="56">
        <v>45647.333333333336</v>
      </c>
      <c r="H16" s="31">
        <v>0.26041666666666669</v>
      </c>
      <c r="I16" s="56">
        <v>45647.333333333336</v>
      </c>
      <c r="J16" s="31">
        <v>0.26041666666666669</v>
      </c>
      <c r="K16" s="56">
        <v>45647.333333333336</v>
      </c>
      <c r="L16" s="31">
        <v>0.26041666666666669</v>
      </c>
      <c r="M16" s="56">
        <v>45647.333333333336</v>
      </c>
      <c r="N16" s="31">
        <v>0.26041666666666669</v>
      </c>
      <c r="O16" s="56">
        <v>45647.333333333336</v>
      </c>
      <c r="P16" s="31">
        <v>0.26041666666666669</v>
      </c>
      <c r="Q16" s="56">
        <v>45647.333333333336</v>
      </c>
      <c r="R16" s="31">
        <v>0.26041666666666669</v>
      </c>
      <c r="S16" s="56">
        <v>45647.333333333336</v>
      </c>
      <c r="T16" s="31">
        <v>0.26041666666666669</v>
      </c>
    </row>
    <row r="17" spans="2:20" s="2" customFormat="1" ht="16.5" thickBot="1" x14ac:dyDescent="0.3">
      <c r="B17" s="82" t="s">
        <v>11</v>
      </c>
      <c r="C17" s="11">
        <f>C16-C14</f>
        <v>0.15763888888888886</v>
      </c>
      <c r="D17" s="11">
        <f>D16-D14</f>
        <v>8.4722222222222227E-2</v>
      </c>
      <c r="E17" s="11">
        <f t="shared" ref="E17:N17" si="0">E16-E14</f>
        <v>45647.157638888893</v>
      </c>
      <c r="F17" s="11">
        <f t="shared" si="0"/>
        <v>8.4722222222222227E-2</v>
      </c>
      <c r="G17" s="11">
        <f t="shared" si="0"/>
        <v>45647.157638888893</v>
      </c>
      <c r="H17" s="11">
        <f t="shared" si="0"/>
        <v>8.4722222222222227E-2</v>
      </c>
      <c r="I17" s="11">
        <f t="shared" si="0"/>
        <v>45647.157638888893</v>
      </c>
      <c r="J17" s="11">
        <f t="shared" si="0"/>
        <v>8.4722222222222227E-2</v>
      </c>
      <c r="K17" s="11">
        <f t="shared" si="0"/>
        <v>45647.157638888893</v>
      </c>
      <c r="L17" s="11">
        <f t="shared" si="0"/>
        <v>8.4722222222222227E-2</v>
      </c>
      <c r="M17" s="11">
        <f t="shared" si="0"/>
        <v>45647.157638888893</v>
      </c>
      <c r="N17" s="11">
        <f t="shared" si="0"/>
        <v>8.4722222222222227E-2</v>
      </c>
      <c r="O17" s="11">
        <f t="shared" ref="O17" si="1">O16-O14</f>
        <v>45647.157638888893</v>
      </c>
      <c r="P17" s="11">
        <f t="shared" ref="P17" si="2">P16-P14</f>
        <v>8.4722222222222227E-2</v>
      </c>
      <c r="Q17" s="11">
        <f t="shared" ref="Q17" si="3">Q16-Q14</f>
        <v>45647.157638888893</v>
      </c>
      <c r="R17" s="11">
        <f t="shared" ref="R17" si="4">R16-R14</f>
        <v>8.4722222222222227E-2</v>
      </c>
      <c r="S17" s="11">
        <f t="shared" ref="S17" si="5">S16-S14</f>
        <v>45647.157638888893</v>
      </c>
      <c r="T17" s="11">
        <f t="shared" ref="T17" si="6">T16-T14</f>
        <v>8.4722222222222227E-2</v>
      </c>
    </row>
    <row r="18" spans="2:20" s="49" customFormat="1" ht="15.75" x14ac:dyDescent="0.25">
      <c r="B18" s="26" t="s">
        <v>7</v>
      </c>
      <c r="C18" s="28"/>
      <c r="D18" s="47">
        <v>609</v>
      </c>
      <c r="E18" s="28"/>
      <c r="F18" s="47">
        <v>609</v>
      </c>
      <c r="G18" s="28"/>
      <c r="H18" s="47">
        <v>609</v>
      </c>
      <c r="I18" s="28"/>
      <c r="J18" s="47">
        <v>609</v>
      </c>
      <c r="K18" s="28"/>
      <c r="L18" s="47">
        <v>609</v>
      </c>
      <c r="M18" s="28"/>
      <c r="N18" s="47">
        <v>609</v>
      </c>
      <c r="O18" s="28"/>
      <c r="P18" s="47">
        <v>609</v>
      </c>
      <c r="Q18" s="28"/>
      <c r="R18" s="47">
        <v>609</v>
      </c>
      <c r="S18" s="28"/>
      <c r="T18" s="48">
        <v>609</v>
      </c>
    </row>
    <row r="19" spans="2:20" s="50" customFormat="1" ht="15.75" x14ac:dyDescent="0.25">
      <c r="B19" s="19" t="s">
        <v>8</v>
      </c>
      <c r="C19" s="70"/>
      <c r="D19" s="31">
        <v>0.23750000000000002</v>
      </c>
      <c r="E19" s="70"/>
      <c r="F19" s="31">
        <v>0.23750000000000002</v>
      </c>
      <c r="G19" s="70"/>
      <c r="H19" s="31">
        <v>0.23750000000000002</v>
      </c>
      <c r="I19" s="70"/>
      <c r="J19" s="31">
        <v>0.23750000000000002</v>
      </c>
      <c r="K19" s="70"/>
      <c r="L19" s="31">
        <v>0.23750000000000002</v>
      </c>
      <c r="M19" s="70"/>
      <c r="N19" s="31">
        <v>0.23750000000000002</v>
      </c>
      <c r="O19" s="70"/>
      <c r="P19" s="31">
        <v>0.23750000000000002</v>
      </c>
      <c r="Q19" s="70"/>
      <c r="R19" s="31">
        <v>0.23750000000000002</v>
      </c>
      <c r="S19" s="70"/>
      <c r="T19" s="32">
        <v>0.23750000000000002</v>
      </c>
    </row>
    <row r="20" spans="2:20" s="51" customFormat="1" ht="15.75" x14ac:dyDescent="0.25">
      <c r="B20" s="33" t="s">
        <v>9</v>
      </c>
      <c r="C20" s="37"/>
      <c r="D20" s="41" t="s">
        <v>12</v>
      </c>
      <c r="E20" s="87"/>
      <c r="F20" s="41" t="s">
        <v>12</v>
      </c>
      <c r="G20" s="87"/>
      <c r="H20" s="41" t="s">
        <v>12</v>
      </c>
      <c r="I20" s="87"/>
      <c r="J20" s="41" t="s">
        <v>12</v>
      </c>
      <c r="K20" s="87"/>
      <c r="L20" s="41" t="s">
        <v>12</v>
      </c>
      <c r="M20" s="87"/>
      <c r="N20" s="41" t="s">
        <v>12</v>
      </c>
      <c r="O20" s="87"/>
      <c r="P20" s="41" t="s">
        <v>12</v>
      </c>
      <c r="Q20" s="37"/>
      <c r="R20" s="41" t="s">
        <v>12</v>
      </c>
      <c r="S20" s="37"/>
      <c r="T20" s="81" t="s">
        <v>12</v>
      </c>
    </row>
    <row r="21" spans="2:20" s="51" customFormat="1" ht="15.75" x14ac:dyDescent="0.25">
      <c r="B21" s="30" t="s">
        <v>10</v>
      </c>
      <c r="C21" s="52"/>
      <c r="D21" s="86" t="s">
        <v>19</v>
      </c>
      <c r="E21" s="43"/>
      <c r="F21" s="86" t="s">
        <v>19</v>
      </c>
      <c r="G21" s="43"/>
      <c r="H21" s="86" t="s">
        <v>19</v>
      </c>
      <c r="I21" s="43"/>
      <c r="J21" s="86" t="s">
        <v>19</v>
      </c>
      <c r="K21" s="43"/>
      <c r="L21" s="86" t="s">
        <v>19</v>
      </c>
      <c r="M21" s="43"/>
      <c r="N21" s="86" t="s">
        <v>19</v>
      </c>
      <c r="O21" s="43"/>
      <c r="P21" s="86" t="s">
        <v>19</v>
      </c>
      <c r="Q21" s="52"/>
      <c r="R21" s="31" t="s">
        <v>19</v>
      </c>
      <c r="S21" s="52"/>
      <c r="T21" s="32" t="s">
        <v>19</v>
      </c>
    </row>
    <row r="22" spans="2:20" s="2" customFormat="1" ht="16.5" thickBot="1" x14ac:dyDescent="0.3">
      <c r="B22" s="44" t="s">
        <v>11</v>
      </c>
      <c r="C22" s="45"/>
      <c r="D22" s="18"/>
      <c r="E22" s="45"/>
      <c r="F22" s="18"/>
      <c r="G22" s="45"/>
      <c r="H22" s="18"/>
      <c r="I22" s="45"/>
      <c r="J22" s="18"/>
      <c r="K22" s="45"/>
      <c r="L22" s="18"/>
      <c r="M22" s="45"/>
      <c r="N22" s="18"/>
      <c r="O22" s="45"/>
      <c r="P22" s="18"/>
      <c r="Q22" s="45"/>
      <c r="R22" s="18"/>
      <c r="S22" s="45"/>
      <c r="T22" s="46"/>
    </row>
    <row r="23" spans="2:20" s="2" customFormat="1" ht="15.75" x14ac:dyDescent="0.25">
      <c r="B23" s="26" t="s">
        <v>7</v>
      </c>
      <c r="C23" s="83"/>
      <c r="D23" s="27">
        <v>117</v>
      </c>
      <c r="E23" s="83"/>
      <c r="F23" s="27">
        <v>117</v>
      </c>
      <c r="G23" s="83"/>
      <c r="H23" s="27">
        <v>117</v>
      </c>
      <c r="I23" s="83"/>
      <c r="J23" s="27">
        <v>117</v>
      </c>
      <c r="K23" s="83"/>
      <c r="L23" s="27">
        <v>117</v>
      </c>
      <c r="M23" s="83"/>
      <c r="N23" s="27">
        <v>117</v>
      </c>
      <c r="O23" s="83"/>
      <c r="P23" s="27">
        <v>117</v>
      </c>
      <c r="Q23" s="83"/>
      <c r="R23" s="27">
        <v>117</v>
      </c>
      <c r="S23" s="83"/>
      <c r="T23" s="29">
        <v>117</v>
      </c>
    </row>
    <row r="24" spans="2:20" s="2" customFormat="1" ht="15.75" x14ac:dyDescent="0.25">
      <c r="B24" s="19" t="s">
        <v>8</v>
      </c>
      <c r="C24" s="43"/>
      <c r="D24" s="31">
        <v>0.93125000000000002</v>
      </c>
      <c r="E24" s="43"/>
      <c r="F24" s="31">
        <v>0.93125000000000002</v>
      </c>
      <c r="G24" s="43"/>
      <c r="H24" s="31">
        <v>0.93125000000000002</v>
      </c>
      <c r="I24" s="43"/>
      <c r="J24" s="31">
        <v>0.93125000000000002</v>
      </c>
      <c r="K24" s="43"/>
      <c r="L24" s="31">
        <v>0.93125000000000002</v>
      </c>
      <c r="M24" s="43"/>
      <c r="N24" s="31">
        <v>0.93125000000000002</v>
      </c>
      <c r="O24" s="43"/>
      <c r="P24" s="31">
        <v>0.93125000000000002</v>
      </c>
      <c r="Q24" s="43"/>
      <c r="R24" s="31">
        <v>0.93125000000000002</v>
      </c>
      <c r="S24" s="43"/>
      <c r="T24" s="32">
        <v>0.93125000000000002</v>
      </c>
    </row>
    <row r="25" spans="2:20" s="2" customFormat="1" ht="15.75" x14ac:dyDescent="0.25">
      <c r="B25" s="33" t="s">
        <v>9</v>
      </c>
      <c r="C25" s="43"/>
      <c r="D25" s="34">
        <v>610</v>
      </c>
      <c r="E25" s="43"/>
      <c r="F25" s="34">
        <v>610</v>
      </c>
      <c r="G25" s="43"/>
      <c r="H25" s="34">
        <v>610</v>
      </c>
      <c r="I25" s="43"/>
      <c r="J25" s="34">
        <v>610</v>
      </c>
      <c r="K25" s="43"/>
      <c r="L25" s="34">
        <v>610</v>
      </c>
      <c r="M25" s="43"/>
      <c r="N25" s="34">
        <v>610</v>
      </c>
      <c r="O25" s="43"/>
      <c r="P25" s="34">
        <v>610</v>
      </c>
      <c r="Q25" s="43"/>
      <c r="R25" s="34">
        <v>610</v>
      </c>
      <c r="S25" s="43"/>
      <c r="T25" s="42">
        <v>610</v>
      </c>
    </row>
    <row r="26" spans="2:20" s="2" customFormat="1" ht="15.75" x14ac:dyDescent="0.25">
      <c r="B26" s="30" t="s">
        <v>10</v>
      </c>
      <c r="C26" s="43"/>
      <c r="D26" s="31">
        <v>0.94097222222222221</v>
      </c>
      <c r="E26" s="43"/>
      <c r="F26" s="31">
        <v>0.94097222222222221</v>
      </c>
      <c r="G26" s="43"/>
      <c r="H26" s="31">
        <v>0.94097222222222221</v>
      </c>
      <c r="I26" s="43"/>
      <c r="J26" s="31">
        <v>0.94097222222222221</v>
      </c>
      <c r="K26" s="43"/>
      <c r="L26" s="31">
        <v>0.94097222222222221</v>
      </c>
      <c r="M26" s="43"/>
      <c r="N26" s="31">
        <v>0.94097222222222221</v>
      </c>
      <c r="O26" s="43"/>
      <c r="P26" s="31">
        <v>0.94097222222222221</v>
      </c>
      <c r="Q26" s="43"/>
      <c r="R26" s="31">
        <v>0.94097222222222221</v>
      </c>
      <c r="S26" s="43"/>
      <c r="T26" s="32">
        <v>0.94097222222222221</v>
      </c>
    </row>
    <row r="27" spans="2:20" s="2" customFormat="1" ht="16.5" thickBot="1" x14ac:dyDescent="0.3">
      <c r="B27" s="44" t="s">
        <v>11</v>
      </c>
      <c r="C27" s="45"/>
      <c r="D27" s="18">
        <f>D26-D24</f>
        <v>9.7222222222221877E-3</v>
      </c>
      <c r="E27" s="45"/>
      <c r="F27" s="18">
        <f t="shared" ref="F27" si="7">F26-F24</f>
        <v>9.7222222222221877E-3</v>
      </c>
      <c r="G27" s="45"/>
      <c r="H27" s="18">
        <f t="shared" ref="H27" si="8">H26-H24</f>
        <v>9.7222222222221877E-3</v>
      </c>
      <c r="I27" s="45"/>
      <c r="J27" s="18">
        <f t="shared" ref="J27" si="9">J26-J24</f>
        <v>9.7222222222221877E-3</v>
      </c>
      <c r="K27" s="45"/>
      <c r="L27" s="18">
        <f t="shared" ref="L27" si="10">L26-L24</f>
        <v>9.7222222222221877E-3</v>
      </c>
      <c r="M27" s="45"/>
      <c r="N27" s="18">
        <f t="shared" ref="N27" si="11">N26-N24</f>
        <v>9.7222222222221877E-3</v>
      </c>
      <c r="O27" s="45"/>
      <c r="P27" s="18">
        <f t="shared" ref="P27" si="12">P26-P24</f>
        <v>9.7222222222221877E-3</v>
      </c>
      <c r="Q27" s="45"/>
      <c r="R27" s="18">
        <f t="shared" ref="R27" si="13">R26-R24</f>
        <v>9.7222222222221877E-3</v>
      </c>
      <c r="S27" s="45"/>
      <c r="T27" s="46">
        <f t="shared" ref="T27" si="14">T26-T24</f>
        <v>9.7222222222221877E-3</v>
      </c>
    </row>
    <row r="28" spans="2:20" s="54" customFormat="1" ht="15.75" x14ac:dyDescent="0.25">
      <c r="B28" s="15" t="s">
        <v>7</v>
      </c>
      <c r="C28" s="47"/>
      <c r="D28" s="94" t="s">
        <v>12</v>
      </c>
      <c r="E28" s="94" t="s">
        <v>12</v>
      </c>
      <c r="F28" s="94" t="s">
        <v>12</v>
      </c>
      <c r="G28" s="94" t="s">
        <v>12</v>
      </c>
      <c r="H28" s="94" t="s">
        <v>12</v>
      </c>
      <c r="I28" s="94" t="s">
        <v>12</v>
      </c>
      <c r="J28" s="94" t="s">
        <v>12</v>
      </c>
      <c r="K28" s="94" t="s">
        <v>12</v>
      </c>
      <c r="L28" s="94" t="s">
        <v>12</v>
      </c>
      <c r="M28" s="94" t="s">
        <v>12</v>
      </c>
      <c r="N28" s="94" t="s">
        <v>12</v>
      </c>
      <c r="O28" s="94" t="s">
        <v>12</v>
      </c>
      <c r="P28" s="94" t="s">
        <v>12</v>
      </c>
      <c r="Q28" s="94" t="s">
        <v>12</v>
      </c>
      <c r="R28" s="107" t="s">
        <v>12</v>
      </c>
      <c r="S28" s="107" t="s">
        <v>12</v>
      </c>
      <c r="T28" s="108" t="s">
        <v>12</v>
      </c>
    </row>
    <row r="29" spans="2:20" s="54" customFormat="1" ht="15.75" x14ac:dyDescent="0.25">
      <c r="B29" s="14" t="s">
        <v>8</v>
      </c>
      <c r="C29" s="31"/>
      <c r="D29" s="43" t="s">
        <v>20</v>
      </c>
      <c r="E29" s="43" t="s">
        <v>20</v>
      </c>
      <c r="F29" s="43" t="s">
        <v>20</v>
      </c>
      <c r="G29" s="43" t="s">
        <v>20</v>
      </c>
      <c r="H29" s="43" t="s">
        <v>20</v>
      </c>
      <c r="I29" s="43" t="s">
        <v>20</v>
      </c>
      <c r="J29" s="43" t="s">
        <v>20</v>
      </c>
      <c r="K29" s="43" t="s">
        <v>20</v>
      </c>
      <c r="L29" s="43" t="s">
        <v>20</v>
      </c>
      <c r="M29" s="43" t="s">
        <v>20</v>
      </c>
      <c r="N29" s="43" t="s">
        <v>20</v>
      </c>
      <c r="O29" s="43" t="s">
        <v>20</v>
      </c>
      <c r="P29" s="43" t="s">
        <v>20</v>
      </c>
      <c r="Q29" s="43" t="s">
        <v>20</v>
      </c>
      <c r="R29" s="22" t="s">
        <v>20</v>
      </c>
      <c r="S29" s="22" t="s">
        <v>20</v>
      </c>
      <c r="T29" s="109" t="s">
        <v>20</v>
      </c>
    </row>
    <row r="30" spans="2:20" s="54" customFormat="1" ht="15.75" x14ac:dyDescent="0.25">
      <c r="B30" s="13" t="s">
        <v>9</v>
      </c>
      <c r="C30" s="59"/>
      <c r="D30" s="59">
        <v>108</v>
      </c>
      <c r="E30" s="59">
        <v>108</v>
      </c>
      <c r="F30" s="59">
        <v>108</v>
      </c>
      <c r="G30" s="59">
        <v>108</v>
      </c>
      <c r="H30" s="59">
        <v>108</v>
      </c>
      <c r="I30" s="59">
        <v>108</v>
      </c>
      <c r="J30" s="59">
        <v>108</v>
      </c>
      <c r="K30" s="59">
        <v>108</v>
      </c>
      <c r="L30" s="59">
        <v>108</v>
      </c>
      <c r="M30" s="59">
        <v>108</v>
      </c>
      <c r="N30" s="59">
        <v>108</v>
      </c>
      <c r="O30" s="59">
        <v>108</v>
      </c>
      <c r="P30" s="59">
        <v>108</v>
      </c>
      <c r="Q30" s="59">
        <v>108</v>
      </c>
      <c r="R30" s="59">
        <v>108</v>
      </c>
      <c r="S30" s="59">
        <v>108</v>
      </c>
      <c r="T30" s="60">
        <v>108</v>
      </c>
    </row>
    <row r="31" spans="2:20" s="55" customFormat="1" ht="15.75" x14ac:dyDescent="0.25">
      <c r="B31" s="14" t="s">
        <v>10</v>
      </c>
      <c r="C31" s="61"/>
      <c r="D31" s="61">
        <v>0.94027777777777777</v>
      </c>
      <c r="E31" s="61">
        <v>0.94027777777777777</v>
      </c>
      <c r="F31" s="61">
        <v>0.94027777777777777</v>
      </c>
      <c r="G31" s="61">
        <v>0.94027777777777777</v>
      </c>
      <c r="H31" s="61">
        <v>0.94027777777777777</v>
      </c>
      <c r="I31" s="61">
        <v>0.94027777777777777</v>
      </c>
      <c r="J31" s="61">
        <v>0.94027777777777777</v>
      </c>
      <c r="K31" s="61">
        <v>0.94027777777777777</v>
      </c>
      <c r="L31" s="61">
        <v>0.94027777777777777</v>
      </c>
      <c r="M31" s="61">
        <v>0.94027777777777777</v>
      </c>
      <c r="N31" s="61">
        <v>0.94027777777777777</v>
      </c>
      <c r="O31" s="61">
        <v>0.94027777777777777</v>
      </c>
      <c r="P31" s="61">
        <v>0.94027777777777777</v>
      </c>
      <c r="Q31" s="61">
        <v>0.94027777777777777</v>
      </c>
      <c r="R31" s="61">
        <v>0.94027777777777777</v>
      </c>
      <c r="S31" s="61">
        <v>0.94027777777777777</v>
      </c>
      <c r="T31" s="106">
        <v>0.94027777777777777</v>
      </c>
    </row>
    <row r="32" spans="2:20" s="55" customFormat="1" ht="16.5" thickBot="1" x14ac:dyDescent="0.3">
      <c r="B32" s="16" t="s">
        <v>11</v>
      </c>
      <c r="C32" s="18"/>
      <c r="D32" s="18">
        <f>(D31-C14)+24</f>
        <v>24.764583333333334</v>
      </c>
      <c r="E32" s="18">
        <f>(E31-D14)+24</f>
        <v>24.764583333333334</v>
      </c>
      <c r="F32" s="18">
        <f>(F31-E14)+24</f>
        <v>24.764583333333334</v>
      </c>
      <c r="G32" s="18">
        <f>(G31-F14)+24</f>
        <v>24.764583333333334</v>
      </c>
      <c r="H32" s="18">
        <f>(H31-G14)+24</f>
        <v>24.764583333333334</v>
      </c>
      <c r="I32" s="18">
        <f>(I31-H14)+24</f>
        <v>24.764583333333334</v>
      </c>
      <c r="J32" s="18">
        <f>(J31-I14)+24</f>
        <v>24.764583333333334</v>
      </c>
      <c r="K32" s="18">
        <f>(K31-J14)+24</f>
        <v>24.764583333333334</v>
      </c>
      <c r="L32" s="18">
        <f>(L31-K14)+24</f>
        <v>24.764583333333334</v>
      </c>
      <c r="M32" s="18">
        <f>(M31-L14)+24</f>
        <v>24.764583333333334</v>
      </c>
      <c r="N32" s="18">
        <f>(N31-M14)+24</f>
        <v>24.764583333333334</v>
      </c>
      <c r="O32" s="18">
        <f>(O31-N14)+24</f>
        <v>24.764583333333334</v>
      </c>
      <c r="P32" s="18">
        <f>(P31-O14)+24</f>
        <v>24.764583333333334</v>
      </c>
      <c r="Q32" s="18">
        <f>(Q31-P14)+24</f>
        <v>24.764583333333334</v>
      </c>
      <c r="R32" s="18">
        <f>(R31-Q14)+24</f>
        <v>24.764583333333334</v>
      </c>
      <c r="S32" s="18">
        <f>(S31-R14)+24</f>
        <v>24.764583333333334</v>
      </c>
      <c r="T32" s="46">
        <f>(T31-S14)+24</f>
        <v>24.764583333333334</v>
      </c>
    </row>
    <row r="33" spans="2:20" s="49" customFormat="1" ht="15.75" x14ac:dyDescent="0.25">
      <c r="B33" s="74" t="s">
        <v>7</v>
      </c>
      <c r="C33" s="53">
        <v>73</v>
      </c>
      <c r="D33" s="92"/>
      <c r="E33" s="53">
        <v>73</v>
      </c>
      <c r="F33" s="92"/>
      <c r="G33" s="53">
        <v>73</v>
      </c>
      <c r="H33" s="92"/>
      <c r="I33" s="53">
        <v>73</v>
      </c>
      <c r="J33" s="92"/>
      <c r="K33" s="53">
        <v>73</v>
      </c>
      <c r="L33" s="92"/>
      <c r="M33" s="53">
        <v>73</v>
      </c>
      <c r="N33" s="92"/>
      <c r="O33" s="53">
        <v>73</v>
      </c>
      <c r="P33" s="92"/>
      <c r="Q33" s="53">
        <v>73</v>
      </c>
      <c r="R33" s="92"/>
      <c r="S33" s="53">
        <v>73</v>
      </c>
      <c r="T33" s="92"/>
    </row>
    <row r="34" spans="2:20" s="49" customFormat="1" ht="15.75" x14ac:dyDescent="0.25">
      <c r="B34" s="30" t="s">
        <v>8</v>
      </c>
      <c r="C34" s="31">
        <v>0.99722222222222223</v>
      </c>
      <c r="D34" s="62"/>
      <c r="E34" s="31">
        <v>0.99722222222222223</v>
      </c>
      <c r="F34" s="62"/>
      <c r="G34" s="31">
        <v>0.99722222222222223</v>
      </c>
      <c r="H34" s="62"/>
      <c r="I34" s="31">
        <v>0.99722222222222223</v>
      </c>
      <c r="J34" s="62"/>
      <c r="K34" s="31">
        <v>0.99722222222222223</v>
      </c>
      <c r="L34" s="62"/>
      <c r="M34" s="31">
        <v>0.99722222222222223</v>
      </c>
      <c r="N34" s="62"/>
      <c r="O34" s="31">
        <v>0.99722222222222223</v>
      </c>
      <c r="P34" s="62"/>
      <c r="Q34" s="31">
        <v>0.99722222222222223</v>
      </c>
      <c r="R34" s="62"/>
      <c r="S34" s="31">
        <v>0.99722222222222223</v>
      </c>
      <c r="T34" s="62"/>
    </row>
    <row r="35" spans="2:20" s="51" customFormat="1" ht="15.75" x14ac:dyDescent="0.25">
      <c r="B35" s="33" t="s">
        <v>9</v>
      </c>
      <c r="C35" s="35" t="s">
        <v>18</v>
      </c>
      <c r="D35" s="34">
        <v>66</v>
      </c>
      <c r="E35" s="35" t="s">
        <v>18</v>
      </c>
      <c r="F35" s="34">
        <v>66</v>
      </c>
      <c r="G35" s="35" t="s">
        <v>18</v>
      </c>
      <c r="H35" s="34">
        <v>66</v>
      </c>
      <c r="I35" s="35" t="s">
        <v>18</v>
      </c>
      <c r="J35" s="34">
        <v>66</v>
      </c>
      <c r="K35" s="35" t="s">
        <v>18</v>
      </c>
      <c r="L35" s="34">
        <v>66</v>
      </c>
      <c r="M35" s="35" t="s">
        <v>18</v>
      </c>
      <c r="N35" s="34">
        <v>66</v>
      </c>
      <c r="O35" s="35" t="s">
        <v>18</v>
      </c>
      <c r="P35" s="34">
        <v>66</v>
      </c>
      <c r="Q35" s="35" t="s">
        <v>18</v>
      </c>
      <c r="R35" s="34">
        <v>66</v>
      </c>
      <c r="S35" s="35" t="s">
        <v>18</v>
      </c>
      <c r="T35" s="34">
        <v>66</v>
      </c>
    </row>
    <row r="36" spans="2:20" s="51" customFormat="1" ht="15.75" x14ac:dyDescent="0.25">
      <c r="B36" s="30" t="s">
        <v>10</v>
      </c>
      <c r="C36" s="31"/>
      <c r="D36" s="36">
        <v>1.1284722222222221</v>
      </c>
      <c r="E36" s="31"/>
      <c r="F36" s="36">
        <v>1.1284722222222221</v>
      </c>
      <c r="G36" s="31"/>
      <c r="H36" s="36">
        <v>1.1284722222222221</v>
      </c>
      <c r="I36" s="31"/>
      <c r="J36" s="36">
        <v>1.1284722222222221</v>
      </c>
      <c r="K36" s="31"/>
      <c r="L36" s="36">
        <v>1.1284722222222221</v>
      </c>
      <c r="M36" s="31"/>
      <c r="N36" s="36">
        <v>1.1284722222222221</v>
      </c>
      <c r="O36" s="31"/>
      <c r="P36" s="36">
        <v>1.1284722222222221</v>
      </c>
      <c r="Q36" s="31"/>
      <c r="R36" s="36">
        <v>1.1284722222222221</v>
      </c>
      <c r="S36" s="31"/>
      <c r="T36" s="36">
        <v>1.1284722222222221</v>
      </c>
    </row>
    <row r="37" spans="2:20" s="2" customFormat="1" ht="16.5" thickBot="1" x14ac:dyDescent="0.3">
      <c r="B37" s="44" t="s">
        <v>11</v>
      </c>
      <c r="C37" s="18"/>
      <c r="D37" s="38">
        <f>D36-C34</f>
        <v>0.13124999999999987</v>
      </c>
      <c r="E37" s="18"/>
      <c r="F37" s="38">
        <f t="shared" ref="F37" si="15">F36-E34</f>
        <v>0.13124999999999987</v>
      </c>
      <c r="G37" s="18"/>
      <c r="H37" s="38">
        <f t="shared" ref="H37" si="16">H36-G34</f>
        <v>0.13124999999999987</v>
      </c>
      <c r="I37" s="18"/>
      <c r="J37" s="38">
        <f t="shared" ref="J37" si="17">J36-I34</f>
        <v>0.13124999999999987</v>
      </c>
      <c r="K37" s="18"/>
      <c r="L37" s="38">
        <f t="shared" ref="L37" si="18">L36-K34</f>
        <v>0.13124999999999987</v>
      </c>
      <c r="M37" s="18"/>
      <c r="N37" s="38">
        <f t="shared" ref="N37" si="19">N36-M34</f>
        <v>0.13124999999999987</v>
      </c>
      <c r="O37" s="18"/>
      <c r="P37" s="38">
        <f>P36-O34</f>
        <v>0.13124999999999987</v>
      </c>
      <c r="Q37" s="18"/>
      <c r="R37" s="38">
        <f t="shared" ref="R37" si="20">R36-Q34</f>
        <v>0.13124999999999987</v>
      </c>
      <c r="S37" s="18"/>
      <c r="T37" s="38">
        <f t="shared" ref="T37" si="21">T36-S34</f>
        <v>0.13124999999999987</v>
      </c>
    </row>
    <row r="38" spans="2:20" s="2" customFormat="1" ht="15.75" x14ac:dyDescent="0.25">
      <c r="B38" s="64" t="s">
        <v>17</v>
      </c>
      <c r="C38" s="3">
        <v>14</v>
      </c>
      <c r="D38" s="4">
        <v>15</v>
      </c>
      <c r="E38" s="4">
        <v>16</v>
      </c>
      <c r="F38" s="4">
        <v>17</v>
      </c>
      <c r="G38" s="4">
        <v>18</v>
      </c>
      <c r="H38" s="4">
        <v>19</v>
      </c>
      <c r="I38" s="4">
        <v>20</v>
      </c>
      <c r="J38" s="4">
        <v>21</v>
      </c>
      <c r="K38" s="4">
        <v>22</v>
      </c>
      <c r="L38" s="4">
        <v>23</v>
      </c>
      <c r="M38" s="4">
        <v>24</v>
      </c>
      <c r="N38" s="4">
        <v>25</v>
      </c>
      <c r="O38" s="4">
        <v>26</v>
      </c>
      <c r="P38" s="4">
        <v>27</v>
      </c>
      <c r="Q38" s="4">
        <v>28</v>
      </c>
      <c r="R38" s="4">
        <v>29</v>
      </c>
      <c r="S38" s="4">
        <v>30</v>
      </c>
      <c r="T38" s="5">
        <v>31</v>
      </c>
    </row>
    <row r="39" spans="2:20" s="2" customFormat="1" ht="16.5" thickBot="1" x14ac:dyDescent="0.3">
      <c r="B39" s="65"/>
      <c r="C39" s="6" t="s">
        <v>0</v>
      </c>
      <c r="D39" s="7" t="s">
        <v>1</v>
      </c>
      <c r="E39" s="7" t="s">
        <v>2</v>
      </c>
      <c r="F39" s="7" t="s">
        <v>3</v>
      </c>
      <c r="G39" s="7" t="s">
        <v>4</v>
      </c>
      <c r="H39" s="7" t="s">
        <v>5</v>
      </c>
      <c r="I39" s="8" t="s">
        <v>6</v>
      </c>
      <c r="J39" s="8" t="s">
        <v>0</v>
      </c>
      <c r="K39" s="7" t="s">
        <v>1</v>
      </c>
      <c r="L39" s="7" t="s">
        <v>2</v>
      </c>
      <c r="M39" s="7" t="s">
        <v>3</v>
      </c>
      <c r="N39" s="7" t="s">
        <v>4</v>
      </c>
      <c r="O39" s="7" t="s">
        <v>5</v>
      </c>
      <c r="P39" s="7" t="s">
        <v>6</v>
      </c>
      <c r="Q39" s="7" t="s">
        <v>0</v>
      </c>
      <c r="R39" s="7" t="s">
        <v>1</v>
      </c>
      <c r="S39" s="7" t="s">
        <v>2</v>
      </c>
      <c r="T39" s="9" t="s">
        <v>3</v>
      </c>
    </row>
    <row r="40" spans="2:20" s="2" customFormat="1" ht="15.75" x14ac:dyDescent="0.25"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3" spans="2:20" x14ac:dyDescent="0.25">
      <c r="C43" s="66"/>
      <c r="D43" s="66"/>
      <c r="E43" s="66"/>
      <c r="F43" s="66"/>
      <c r="G43" s="66"/>
    </row>
    <row r="44" spans="2:20" x14ac:dyDescent="0.25">
      <c r="C44" s="66"/>
      <c r="D44" s="66"/>
      <c r="E44" s="66"/>
      <c r="F44" s="66"/>
      <c r="G44" s="66"/>
    </row>
    <row r="48" spans="2:20" x14ac:dyDescent="0.25">
      <c r="C48"/>
      <c r="D48"/>
      <c r="E48"/>
      <c r="F48"/>
      <c r="G48"/>
      <c r="H48"/>
      <c r="I48"/>
      <c r="J48"/>
      <c r="K48"/>
      <c r="L48"/>
      <c r="M48"/>
      <c r="N48"/>
    </row>
    <row r="49" spans="3:14" x14ac:dyDescent="0.25">
      <c r="C49"/>
      <c r="D49"/>
      <c r="E49"/>
      <c r="F49"/>
      <c r="G49"/>
      <c r="H49"/>
      <c r="I49"/>
      <c r="J49"/>
      <c r="K49"/>
      <c r="L49"/>
      <c r="M49"/>
      <c r="N49"/>
    </row>
    <row r="50" spans="3:14" x14ac:dyDescent="0.25">
      <c r="C50"/>
      <c r="D50"/>
      <c r="E50"/>
      <c r="F50"/>
      <c r="G50"/>
      <c r="H50"/>
      <c r="I50"/>
      <c r="J50"/>
      <c r="K50"/>
      <c r="L50"/>
      <c r="M50"/>
      <c r="N50"/>
    </row>
    <row r="51" spans="3:14" x14ac:dyDescent="0.25">
      <c r="C51"/>
      <c r="D51"/>
      <c r="E51"/>
      <c r="F51"/>
      <c r="G51"/>
      <c r="H51"/>
      <c r="I51"/>
      <c r="J51"/>
      <c r="K51"/>
      <c r="L51"/>
      <c r="M51"/>
      <c r="N51"/>
    </row>
    <row r="52" spans="3:14" x14ac:dyDescent="0.25">
      <c r="C52"/>
      <c r="D52"/>
      <c r="E52"/>
      <c r="F52"/>
      <c r="G52"/>
      <c r="H52"/>
      <c r="I52"/>
      <c r="J52"/>
      <c r="K52"/>
      <c r="L52"/>
      <c r="M52"/>
      <c r="N52"/>
    </row>
  </sheetData>
  <mergeCells count="6">
    <mergeCell ref="C43:G43"/>
    <mergeCell ref="C44:G44"/>
    <mergeCell ref="B5:T5"/>
    <mergeCell ref="C4:N4"/>
    <mergeCell ref="B6:B7"/>
    <mergeCell ref="B38:B39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8"/>
  <sheetViews>
    <sheetView tabSelected="1" topLeftCell="A22" workbookViewId="0">
      <selection activeCell="J46" sqref="J46"/>
    </sheetView>
  </sheetViews>
  <sheetFormatPr defaultRowHeight="15" x14ac:dyDescent="0.25"/>
  <cols>
    <col min="1" max="1" width="4.140625" customWidth="1"/>
    <col min="2" max="2" width="32.140625" customWidth="1"/>
    <col min="3" max="17" width="11.28515625" style="1" customWidth="1"/>
    <col min="18" max="33" width="11.28515625" customWidth="1"/>
  </cols>
  <sheetData>
    <row r="1" spans="1:33" x14ac:dyDescent="0.25">
      <c r="L1" s="1" t="s">
        <v>15</v>
      </c>
    </row>
    <row r="2" spans="1:33" x14ac:dyDescent="0.25">
      <c r="K2" s="1" t="s">
        <v>16</v>
      </c>
    </row>
    <row r="3" spans="1:33" ht="15.75" x14ac:dyDescent="0.25">
      <c r="A3" s="2"/>
      <c r="B3" s="2"/>
      <c r="K3" s="1" t="s">
        <v>21</v>
      </c>
    </row>
    <row r="4" spans="1:33" ht="16.5" thickBot="1" x14ac:dyDescent="0.3">
      <c r="A4" s="2"/>
      <c r="B4" s="2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</row>
    <row r="5" spans="1:33" s="2" customFormat="1" ht="16.5" thickBot="1" x14ac:dyDescent="0.3">
      <c r="B5" s="101" t="s">
        <v>14</v>
      </c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3"/>
    </row>
    <row r="6" spans="1:33" s="25" customFormat="1" ht="15.75" x14ac:dyDescent="0.25">
      <c r="B6" s="76" t="s">
        <v>17</v>
      </c>
      <c r="C6" s="3">
        <v>1</v>
      </c>
      <c r="D6" s="4">
        <v>2</v>
      </c>
      <c r="E6" s="3">
        <v>3</v>
      </c>
      <c r="F6" s="4">
        <v>4</v>
      </c>
      <c r="G6" s="3">
        <v>5</v>
      </c>
      <c r="H6" s="4">
        <v>6</v>
      </c>
      <c r="I6" s="3">
        <v>7</v>
      </c>
      <c r="J6" s="4">
        <v>8</v>
      </c>
      <c r="K6" s="3">
        <v>9</v>
      </c>
      <c r="L6" s="4">
        <v>10</v>
      </c>
      <c r="M6" s="3">
        <v>11</v>
      </c>
      <c r="N6" s="4">
        <v>12</v>
      </c>
      <c r="O6" s="3">
        <v>13</v>
      </c>
      <c r="P6" s="4">
        <v>14</v>
      </c>
      <c r="Q6" s="3">
        <v>15</v>
      </c>
      <c r="R6" s="4">
        <v>16</v>
      </c>
      <c r="S6" s="3">
        <v>17</v>
      </c>
      <c r="T6" s="4">
        <v>18</v>
      </c>
      <c r="U6" s="3">
        <v>19</v>
      </c>
      <c r="V6" s="4">
        <v>20</v>
      </c>
      <c r="W6" s="3">
        <v>21</v>
      </c>
      <c r="X6" s="4">
        <v>22</v>
      </c>
      <c r="Y6" s="3">
        <v>23</v>
      </c>
      <c r="Z6" s="4">
        <v>24</v>
      </c>
      <c r="AA6" s="3">
        <v>25</v>
      </c>
      <c r="AB6" s="4">
        <v>26</v>
      </c>
      <c r="AC6" s="3">
        <v>27</v>
      </c>
      <c r="AD6" s="4">
        <v>28</v>
      </c>
      <c r="AE6" s="3">
        <v>29</v>
      </c>
      <c r="AF6" s="4">
        <v>30</v>
      </c>
      <c r="AG6" s="95">
        <v>31</v>
      </c>
    </row>
    <row r="7" spans="1:33" s="2" customFormat="1" ht="16.5" thickBot="1" x14ac:dyDescent="0.3">
      <c r="B7" s="89"/>
      <c r="C7" s="72" t="s">
        <v>4</v>
      </c>
      <c r="D7" s="72" t="s">
        <v>5</v>
      </c>
      <c r="E7" s="72" t="s">
        <v>6</v>
      </c>
      <c r="F7" s="72" t="s">
        <v>0</v>
      </c>
      <c r="G7" s="72" t="s">
        <v>1</v>
      </c>
      <c r="H7" s="72" t="s">
        <v>2</v>
      </c>
      <c r="I7" s="72" t="s">
        <v>3</v>
      </c>
      <c r="J7" s="72" t="s">
        <v>4</v>
      </c>
      <c r="K7" s="72" t="s">
        <v>5</v>
      </c>
      <c r="L7" s="72" t="s">
        <v>6</v>
      </c>
      <c r="M7" s="72" t="s">
        <v>0</v>
      </c>
      <c r="N7" s="72" t="s">
        <v>1</v>
      </c>
      <c r="O7" s="72" t="s">
        <v>2</v>
      </c>
      <c r="P7" s="72" t="s">
        <v>3</v>
      </c>
      <c r="Q7" s="72" t="s">
        <v>4</v>
      </c>
      <c r="R7" s="72" t="s">
        <v>5</v>
      </c>
      <c r="S7" s="72" t="s">
        <v>6</v>
      </c>
      <c r="T7" s="72" t="s">
        <v>0</v>
      </c>
      <c r="U7" s="72" t="s">
        <v>1</v>
      </c>
      <c r="V7" s="72" t="s">
        <v>2</v>
      </c>
      <c r="W7" s="72" t="s">
        <v>3</v>
      </c>
      <c r="X7" s="72" t="s">
        <v>4</v>
      </c>
      <c r="Y7" s="72" t="s">
        <v>5</v>
      </c>
      <c r="Z7" s="72" t="s">
        <v>6</v>
      </c>
      <c r="AA7" s="72" t="s">
        <v>0</v>
      </c>
      <c r="AB7" s="72" t="s">
        <v>1</v>
      </c>
      <c r="AC7" s="72" t="s">
        <v>2</v>
      </c>
      <c r="AD7" s="72" t="s">
        <v>3</v>
      </c>
      <c r="AE7" s="72" t="s">
        <v>4</v>
      </c>
      <c r="AF7" s="72" t="s">
        <v>5</v>
      </c>
      <c r="AG7" s="96" t="s">
        <v>6</v>
      </c>
    </row>
    <row r="8" spans="1:33" s="2" customFormat="1" ht="15.75" x14ac:dyDescent="0.25">
      <c r="B8" s="26" t="s">
        <v>7</v>
      </c>
      <c r="C8" s="80"/>
      <c r="D8" s="47">
        <v>65</v>
      </c>
      <c r="E8" s="80"/>
      <c r="F8" s="47">
        <v>65</v>
      </c>
      <c r="G8" s="80"/>
      <c r="H8" s="47">
        <v>65</v>
      </c>
      <c r="I8" s="80"/>
      <c r="J8" s="47">
        <v>65</v>
      </c>
      <c r="K8" s="80"/>
      <c r="L8" s="47">
        <v>65</v>
      </c>
      <c r="M8" s="80"/>
      <c r="N8" s="47">
        <v>65</v>
      </c>
      <c r="O8" s="80"/>
      <c r="P8" s="47">
        <v>65</v>
      </c>
      <c r="Q8" s="80"/>
      <c r="R8" s="47">
        <v>65</v>
      </c>
      <c r="S8" s="104"/>
      <c r="T8" s="47">
        <v>65</v>
      </c>
      <c r="U8" s="80"/>
      <c r="V8" s="47">
        <v>65</v>
      </c>
      <c r="W8" s="80"/>
      <c r="X8" s="47">
        <v>65</v>
      </c>
      <c r="Y8" s="80"/>
      <c r="Z8" s="47">
        <v>65</v>
      </c>
      <c r="AA8" s="104"/>
      <c r="AB8" s="47">
        <v>65</v>
      </c>
      <c r="AC8" s="80"/>
      <c r="AD8" s="47">
        <v>65</v>
      </c>
      <c r="AE8" s="80"/>
      <c r="AF8" s="47">
        <v>65</v>
      </c>
      <c r="AG8" s="105"/>
    </row>
    <row r="9" spans="1:33" s="2" customFormat="1" ht="15.75" x14ac:dyDescent="0.25">
      <c r="B9" s="30" t="s">
        <v>8</v>
      </c>
      <c r="C9" s="10"/>
      <c r="D9" s="31">
        <v>0.28750000000000003</v>
      </c>
      <c r="E9" s="10"/>
      <c r="F9" s="31">
        <v>0.28750000000000003</v>
      </c>
      <c r="G9" s="10"/>
      <c r="H9" s="31">
        <v>0.28750000000000003</v>
      </c>
      <c r="I9" s="10"/>
      <c r="J9" s="31">
        <v>0.28750000000000003</v>
      </c>
      <c r="K9" s="10"/>
      <c r="L9" s="31">
        <v>0.28750000000000003</v>
      </c>
      <c r="M9" s="10"/>
      <c r="N9" s="31">
        <v>0.28750000000000003</v>
      </c>
      <c r="O9" s="10"/>
      <c r="P9" s="31">
        <v>0.28750000000000003</v>
      </c>
      <c r="Q9" s="10"/>
      <c r="R9" s="31">
        <v>0.28750000000000003</v>
      </c>
      <c r="S9" s="73"/>
      <c r="T9" s="31">
        <v>0.28750000000000003</v>
      </c>
      <c r="U9" s="10"/>
      <c r="V9" s="31">
        <v>0.28750000000000003</v>
      </c>
      <c r="W9" s="10"/>
      <c r="X9" s="31">
        <v>0.28750000000000003</v>
      </c>
      <c r="Y9" s="10"/>
      <c r="Z9" s="31">
        <v>0.28750000000000003</v>
      </c>
      <c r="AA9" s="73"/>
      <c r="AB9" s="31">
        <v>0.28750000000000003</v>
      </c>
      <c r="AC9" s="10"/>
      <c r="AD9" s="31">
        <v>0.28750000000000003</v>
      </c>
      <c r="AE9" s="10"/>
      <c r="AF9" s="31">
        <v>0.28750000000000003</v>
      </c>
      <c r="AG9" s="21"/>
    </row>
    <row r="10" spans="1:33" s="2" customFormat="1" ht="15.75" x14ac:dyDescent="0.25">
      <c r="B10" s="33" t="s">
        <v>9</v>
      </c>
      <c r="C10" s="34"/>
      <c r="D10" s="115" t="s">
        <v>12</v>
      </c>
      <c r="E10" s="115"/>
      <c r="F10" s="115" t="s">
        <v>12</v>
      </c>
      <c r="G10" s="115"/>
      <c r="H10" s="115" t="s">
        <v>12</v>
      </c>
      <c r="I10" s="115"/>
      <c r="J10" s="115" t="s">
        <v>12</v>
      </c>
      <c r="K10" s="115"/>
      <c r="L10" s="115" t="s">
        <v>12</v>
      </c>
      <c r="M10" s="115"/>
      <c r="N10" s="115" t="s">
        <v>12</v>
      </c>
      <c r="O10" s="115"/>
      <c r="P10" s="115" t="s">
        <v>12</v>
      </c>
      <c r="Q10" s="115"/>
      <c r="R10" s="115" t="s">
        <v>12</v>
      </c>
      <c r="S10" s="117"/>
      <c r="T10" s="115" t="s">
        <v>12</v>
      </c>
      <c r="U10" s="115"/>
      <c r="V10" s="115" t="s">
        <v>12</v>
      </c>
      <c r="W10" s="115"/>
      <c r="X10" s="115" t="s">
        <v>12</v>
      </c>
      <c r="Y10" s="115"/>
      <c r="Z10" s="115" t="s">
        <v>12</v>
      </c>
      <c r="AA10" s="117"/>
      <c r="AB10" s="115" t="s">
        <v>12</v>
      </c>
      <c r="AC10" s="115"/>
      <c r="AD10" s="115" t="s">
        <v>12</v>
      </c>
      <c r="AE10" s="115"/>
      <c r="AF10" s="115" t="s">
        <v>12</v>
      </c>
      <c r="AG10" s="116"/>
    </row>
    <row r="11" spans="1:33" s="2" customFormat="1" ht="17.25" customHeight="1" x14ac:dyDescent="0.25">
      <c r="B11" s="30" t="s">
        <v>10</v>
      </c>
      <c r="C11" s="36"/>
      <c r="D11" s="31" t="s">
        <v>19</v>
      </c>
      <c r="E11" s="17"/>
      <c r="F11" s="31" t="s">
        <v>19</v>
      </c>
      <c r="G11" s="17"/>
      <c r="H11" s="31" t="s">
        <v>19</v>
      </c>
      <c r="I11" s="17"/>
      <c r="J11" s="31" t="s">
        <v>19</v>
      </c>
      <c r="K11" s="17"/>
      <c r="L11" s="31" t="s">
        <v>19</v>
      </c>
      <c r="M11" s="17"/>
      <c r="N11" s="31" t="s">
        <v>19</v>
      </c>
      <c r="O11" s="17"/>
      <c r="P11" s="31" t="s">
        <v>19</v>
      </c>
      <c r="Q11" s="17"/>
      <c r="R11" s="31" t="s">
        <v>19</v>
      </c>
      <c r="S11" s="117"/>
      <c r="T11" s="31" t="s">
        <v>19</v>
      </c>
      <c r="U11" s="17"/>
      <c r="V11" s="31" t="s">
        <v>19</v>
      </c>
      <c r="W11" s="17"/>
      <c r="X11" s="31" t="s">
        <v>19</v>
      </c>
      <c r="Y11" s="17"/>
      <c r="Z11" s="31" t="s">
        <v>19</v>
      </c>
      <c r="AA11" s="117"/>
      <c r="AB11" s="31" t="s">
        <v>19</v>
      </c>
      <c r="AC11" s="17"/>
      <c r="AD11" s="31" t="s">
        <v>19</v>
      </c>
      <c r="AE11" s="17"/>
      <c r="AF11" s="31" t="s">
        <v>19</v>
      </c>
      <c r="AG11" s="20"/>
    </row>
    <row r="12" spans="1:33" s="2" customFormat="1" ht="16.5" thickBot="1" x14ac:dyDescent="0.3">
      <c r="B12" s="16" t="s">
        <v>11</v>
      </c>
      <c r="C12" s="38"/>
      <c r="D12" s="39"/>
      <c r="E12" s="38"/>
      <c r="F12" s="39"/>
      <c r="G12" s="38"/>
      <c r="H12" s="39"/>
      <c r="I12" s="38"/>
      <c r="J12" s="39"/>
      <c r="K12" s="38"/>
      <c r="L12" s="39"/>
      <c r="M12" s="38"/>
      <c r="N12" s="39"/>
      <c r="O12" s="38"/>
      <c r="P12" s="39"/>
      <c r="Q12" s="38"/>
      <c r="R12" s="39"/>
      <c r="S12" s="38"/>
      <c r="T12" s="39"/>
      <c r="U12" s="38"/>
      <c r="V12" s="39"/>
      <c r="W12" s="38"/>
      <c r="X12" s="39"/>
      <c r="Y12" s="38"/>
      <c r="Z12" s="39"/>
      <c r="AA12" s="90"/>
      <c r="AB12" s="39"/>
      <c r="AC12" s="38"/>
      <c r="AD12" s="39"/>
      <c r="AE12" s="38"/>
      <c r="AF12" s="39"/>
      <c r="AG12" s="100"/>
    </row>
    <row r="13" spans="1:33" s="2" customFormat="1" ht="15.75" x14ac:dyDescent="0.25">
      <c r="B13" s="74" t="s">
        <v>7</v>
      </c>
      <c r="C13" s="53">
        <v>107</v>
      </c>
      <c r="D13" s="53">
        <v>107</v>
      </c>
      <c r="E13" s="53">
        <v>107</v>
      </c>
      <c r="F13" s="53">
        <v>107</v>
      </c>
      <c r="G13" s="53">
        <v>107</v>
      </c>
      <c r="H13" s="53">
        <v>107</v>
      </c>
      <c r="I13" s="53">
        <v>107</v>
      </c>
      <c r="J13" s="53">
        <v>107</v>
      </c>
      <c r="K13" s="53">
        <v>107</v>
      </c>
      <c r="L13" s="53">
        <v>107</v>
      </c>
      <c r="M13" s="53">
        <v>107</v>
      </c>
      <c r="N13" s="53">
        <v>107</v>
      </c>
      <c r="O13" s="53">
        <v>107</v>
      </c>
      <c r="P13" s="53">
        <v>107</v>
      </c>
      <c r="Q13" s="53">
        <v>107</v>
      </c>
      <c r="R13" s="53">
        <v>107</v>
      </c>
      <c r="S13" s="53">
        <v>107</v>
      </c>
      <c r="T13" s="53">
        <v>107</v>
      </c>
      <c r="U13" s="53">
        <v>107</v>
      </c>
      <c r="V13" s="53">
        <v>107</v>
      </c>
      <c r="W13" s="53">
        <v>107</v>
      </c>
      <c r="X13" s="53">
        <v>107</v>
      </c>
      <c r="Y13" s="53">
        <v>107</v>
      </c>
      <c r="Z13" s="53">
        <v>107</v>
      </c>
      <c r="AA13" s="53">
        <v>107</v>
      </c>
      <c r="AB13" s="53">
        <v>107</v>
      </c>
      <c r="AC13" s="53">
        <v>107</v>
      </c>
      <c r="AD13" s="53">
        <v>107</v>
      </c>
      <c r="AE13" s="53">
        <v>107</v>
      </c>
      <c r="AF13" s="53">
        <v>107</v>
      </c>
      <c r="AG13" s="98">
        <v>107</v>
      </c>
    </row>
    <row r="14" spans="1:33" s="2" customFormat="1" ht="15.75" x14ac:dyDescent="0.25">
      <c r="B14" s="19" t="s">
        <v>8</v>
      </c>
      <c r="C14" s="31">
        <v>0.17569444444444446</v>
      </c>
      <c r="D14" s="31">
        <v>0.17569444444444446</v>
      </c>
      <c r="E14" s="31">
        <v>0.17569444444444446</v>
      </c>
      <c r="F14" s="31">
        <v>0.17569444444444446</v>
      </c>
      <c r="G14" s="31">
        <v>0.17569444444444446</v>
      </c>
      <c r="H14" s="31">
        <v>0.17569444444444446</v>
      </c>
      <c r="I14" s="31">
        <v>0.17569444444444446</v>
      </c>
      <c r="J14" s="31">
        <v>0.17569444444444446</v>
      </c>
      <c r="K14" s="31">
        <v>0.17569444444444446</v>
      </c>
      <c r="L14" s="31">
        <v>0.17569444444444446</v>
      </c>
      <c r="M14" s="31">
        <v>0.17569444444444446</v>
      </c>
      <c r="N14" s="31">
        <v>0.17569444444444446</v>
      </c>
      <c r="O14" s="31">
        <v>0.17569444444444446</v>
      </c>
      <c r="P14" s="31">
        <v>0.17569444444444446</v>
      </c>
      <c r="Q14" s="31">
        <v>0.17569444444444446</v>
      </c>
      <c r="R14" s="31">
        <v>0.17569444444444446</v>
      </c>
      <c r="S14" s="31">
        <v>0.17569444444444446</v>
      </c>
      <c r="T14" s="31">
        <v>0.17569444444444446</v>
      </c>
      <c r="U14" s="31">
        <v>0.17569444444444446</v>
      </c>
      <c r="V14" s="31">
        <v>0.17569444444444446</v>
      </c>
      <c r="W14" s="31">
        <v>0.17569444444444446</v>
      </c>
      <c r="X14" s="31">
        <v>0.17569444444444446</v>
      </c>
      <c r="Y14" s="31">
        <v>0.17569444444444446</v>
      </c>
      <c r="Z14" s="31">
        <v>0.17569444444444446</v>
      </c>
      <c r="AA14" s="31">
        <v>0.17569444444444446</v>
      </c>
      <c r="AB14" s="31">
        <v>0.17569444444444446</v>
      </c>
      <c r="AC14" s="31">
        <v>0.17569444444444446</v>
      </c>
      <c r="AD14" s="31">
        <v>0.17569444444444446</v>
      </c>
      <c r="AE14" s="31">
        <v>0.17569444444444446</v>
      </c>
      <c r="AF14" s="31">
        <v>0.17569444444444446</v>
      </c>
      <c r="AG14" s="32">
        <v>0.17569444444444446</v>
      </c>
    </row>
    <row r="15" spans="1:33" s="2" customFormat="1" ht="15.75" x14ac:dyDescent="0.25">
      <c r="B15" s="33" t="s">
        <v>9</v>
      </c>
      <c r="C15" s="34">
        <v>118</v>
      </c>
      <c r="D15" s="34">
        <v>74</v>
      </c>
      <c r="E15" s="34">
        <v>118</v>
      </c>
      <c r="F15" s="34">
        <v>74</v>
      </c>
      <c r="G15" s="34">
        <v>118</v>
      </c>
      <c r="H15" s="34">
        <v>74</v>
      </c>
      <c r="I15" s="34">
        <v>118</v>
      </c>
      <c r="J15" s="34">
        <v>74</v>
      </c>
      <c r="K15" s="34">
        <v>118</v>
      </c>
      <c r="L15" s="34">
        <v>74</v>
      </c>
      <c r="M15" s="34">
        <v>118</v>
      </c>
      <c r="N15" s="34">
        <v>74</v>
      </c>
      <c r="O15" s="34">
        <v>118</v>
      </c>
      <c r="P15" s="34">
        <v>74</v>
      </c>
      <c r="Q15" s="34">
        <v>118</v>
      </c>
      <c r="R15" s="34">
        <v>74</v>
      </c>
      <c r="S15" s="34">
        <v>118</v>
      </c>
      <c r="T15" s="34">
        <v>74</v>
      </c>
      <c r="U15" s="34">
        <v>118</v>
      </c>
      <c r="V15" s="34">
        <v>74</v>
      </c>
      <c r="W15" s="34">
        <v>118</v>
      </c>
      <c r="X15" s="34">
        <v>74</v>
      </c>
      <c r="Y15" s="34">
        <v>118</v>
      </c>
      <c r="Z15" s="34">
        <v>74</v>
      </c>
      <c r="AA15" s="34">
        <v>118</v>
      </c>
      <c r="AB15" s="34">
        <v>74</v>
      </c>
      <c r="AC15" s="34">
        <v>118</v>
      </c>
      <c r="AD15" s="34">
        <v>74</v>
      </c>
      <c r="AE15" s="34">
        <v>118</v>
      </c>
      <c r="AF15" s="34">
        <v>74</v>
      </c>
      <c r="AG15" s="42">
        <v>118</v>
      </c>
    </row>
    <row r="16" spans="1:33" s="2" customFormat="1" ht="15.75" x14ac:dyDescent="0.25">
      <c r="B16" s="30" t="s">
        <v>10</v>
      </c>
      <c r="C16" s="31">
        <v>0.26041666666666669</v>
      </c>
      <c r="D16" s="56">
        <v>45647.333333333336</v>
      </c>
      <c r="E16" s="31">
        <v>0.26041666666666669</v>
      </c>
      <c r="F16" s="56">
        <v>45647.333333333336</v>
      </c>
      <c r="G16" s="31">
        <v>0.26041666666666669</v>
      </c>
      <c r="H16" s="56">
        <v>45647.333333333336</v>
      </c>
      <c r="I16" s="31">
        <v>0.26041666666666669</v>
      </c>
      <c r="J16" s="56">
        <v>45647.333333333336</v>
      </c>
      <c r="K16" s="31">
        <v>0.26041666666666669</v>
      </c>
      <c r="L16" s="56">
        <v>45647.333333333336</v>
      </c>
      <c r="M16" s="31">
        <v>0.26041666666666669</v>
      </c>
      <c r="N16" s="56">
        <v>45647.333333333336</v>
      </c>
      <c r="O16" s="31">
        <v>0.26041666666666669</v>
      </c>
      <c r="P16" s="56">
        <v>45647.333333333336</v>
      </c>
      <c r="Q16" s="31">
        <v>0.26041666666666669</v>
      </c>
      <c r="R16" s="56">
        <v>45647.333333333336</v>
      </c>
      <c r="S16" s="31">
        <v>0.26041666666666669</v>
      </c>
      <c r="T16" s="56">
        <v>45647.333333333336</v>
      </c>
      <c r="U16" s="31">
        <v>0.26041666666666669</v>
      </c>
      <c r="V16" s="56">
        <v>45647.333333333336</v>
      </c>
      <c r="W16" s="31">
        <v>0.26041666666666669</v>
      </c>
      <c r="X16" s="56">
        <v>45647.333333333336</v>
      </c>
      <c r="Y16" s="31">
        <v>0.26041666666666669</v>
      </c>
      <c r="Z16" s="56">
        <v>45647.333333333336</v>
      </c>
      <c r="AA16" s="31">
        <v>0.26041666666666669</v>
      </c>
      <c r="AB16" s="56">
        <v>45647.333333333336</v>
      </c>
      <c r="AC16" s="31">
        <v>0.26041666666666669</v>
      </c>
      <c r="AD16" s="56">
        <v>45647.333333333336</v>
      </c>
      <c r="AE16" s="31">
        <v>0.26041666666666669</v>
      </c>
      <c r="AF16" s="56">
        <v>45647.333333333336</v>
      </c>
      <c r="AG16" s="32">
        <v>0.26041666666666669</v>
      </c>
    </row>
    <row r="17" spans="2:33" s="2" customFormat="1" ht="16.5" thickBot="1" x14ac:dyDescent="0.3">
      <c r="B17" s="82" t="s">
        <v>11</v>
      </c>
      <c r="C17" s="11">
        <f>C16-C14</f>
        <v>8.4722222222222227E-2</v>
      </c>
      <c r="D17" s="11">
        <f>D16-D14</f>
        <v>45647.157638888893</v>
      </c>
      <c r="E17" s="11">
        <f t="shared" ref="E17:T17" si="0">E16-E14</f>
        <v>8.4722222222222227E-2</v>
      </c>
      <c r="F17" s="11">
        <f t="shared" si="0"/>
        <v>45647.157638888893</v>
      </c>
      <c r="G17" s="11">
        <f t="shared" si="0"/>
        <v>8.4722222222222227E-2</v>
      </c>
      <c r="H17" s="11">
        <f t="shared" si="0"/>
        <v>45647.157638888893</v>
      </c>
      <c r="I17" s="11">
        <f t="shared" si="0"/>
        <v>8.4722222222222227E-2</v>
      </c>
      <c r="J17" s="11">
        <f t="shared" si="0"/>
        <v>45647.157638888893</v>
      </c>
      <c r="K17" s="11">
        <f t="shared" si="0"/>
        <v>8.4722222222222227E-2</v>
      </c>
      <c r="L17" s="11">
        <f t="shared" si="0"/>
        <v>45647.157638888893</v>
      </c>
      <c r="M17" s="11">
        <f t="shared" si="0"/>
        <v>8.4722222222222227E-2</v>
      </c>
      <c r="N17" s="11">
        <f t="shared" si="0"/>
        <v>45647.157638888893</v>
      </c>
      <c r="O17" s="11">
        <f t="shared" si="0"/>
        <v>8.4722222222222227E-2</v>
      </c>
      <c r="P17" s="11">
        <f t="shared" si="0"/>
        <v>45647.157638888893</v>
      </c>
      <c r="Q17" s="11">
        <f t="shared" si="0"/>
        <v>8.4722222222222227E-2</v>
      </c>
      <c r="R17" s="11">
        <f t="shared" si="0"/>
        <v>45647.157638888893</v>
      </c>
      <c r="S17" s="11">
        <f t="shared" si="0"/>
        <v>8.4722222222222227E-2</v>
      </c>
      <c r="T17" s="11">
        <f t="shared" si="0"/>
        <v>45647.157638888893</v>
      </c>
      <c r="U17" s="11">
        <f t="shared" ref="U17" si="1">U16-U14</f>
        <v>8.4722222222222227E-2</v>
      </c>
      <c r="V17" s="11">
        <f t="shared" ref="V17" si="2">V16-V14</f>
        <v>45647.157638888893</v>
      </c>
      <c r="W17" s="11">
        <f t="shared" ref="W17" si="3">W16-W14</f>
        <v>8.4722222222222227E-2</v>
      </c>
      <c r="X17" s="11">
        <f t="shared" ref="X17" si="4">X16-X14</f>
        <v>45647.157638888893</v>
      </c>
      <c r="Y17" s="11">
        <f t="shared" ref="Y17" si="5">Y16-Y14</f>
        <v>8.4722222222222227E-2</v>
      </c>
      <c r="Z17" s="11">
        <f t="shared" ref="Z17" si="6">Z16-Z14</f>
        <v>45647.157638888893</v>
      </c>
      <c r="AA17" s="11">
        <f t="shared" ref="AA17" si="7">AA16-AA14</f>
        <v>8.4722222222222227E-2</v>
      </c>
      <c r="AB17" s="11">
        <f t="shared" ref="AB17" si="8">AB16-AB14</f>
        <v>45647.157638888893</v>
      </c>
      <c r="AC17" s="11">
        <f t="shared" ref="AC17" si="9">AC16-AC14</f>
        <v>8.4722222222222227E-2</v>
      </c>
      <c r="AD17" s="11">
        <f t="shared" ref="AD17" si="10">AD16-AD14</f>
        <v>45647.157638888893</v>
      </c>
      <c r="AE17" s="11">
        <f t="shared" ref="AE17:AG17" si="11">AE16-AE14</f>
        <v>8.4722222222222227E-2</v>
      </c>
      <c r="AF17" s="11">
        <f t="shared" ref="AF17" si="12">AF16-AF14</f>
        <v>45647.157638888893</v>
      </c>
      <c r="AG17" s="12">
        <f t="shared" si="11"/>
        <v>8.4722222222222227E-2</v>
      </c>
    </row>
    <row r="18" spans="2:33" s="49" customFormat="1" ht="15.75" x14ac:dyDescent="0.25">
      <c r="B18" s="26" t="s">
        <v>7</v>
      </c>
      <c r="C18" s="28"/>
      <c r="D18" s="85"/>
      <c r="E18" s="47">
        <v>609</v>
      </c>
      <c r="F18" s="28"/>
      <c r="G18" s="47">
        <v>609</v>
      </c>
      <c r="H18" s="28"/>
      <c r="I18" s="47">
        <v>609</v>
      </c>
      <c r="J18" s="28"/>
      <c r="K18" s="47">
        <v>609</v>
      </c>
      <c r="L18" s="28"/>
      <c r="M18" s="47">
        <v>609</v>
      </c>
      <c r="N18" s="28"/>
      <c r="O18" s="47">
        <v>609</v>
      </c>
      <c r="P18" s="28"/>
      <c r="Q18" s="47">
        <v>609</v>
      </c>
      <c r="R18" s="28"/>
      <c r="S18" s="47">
        <v>609</v>
      </c>
      <c r="T18" s="28"/>
      <c r="U18" s="47">
        <v>609</v>
      </c>
      <c r="V18" s="85"/>
      <c r="W18" s="47">
        <v>609</v>
      </c>
      <c r="X18" s="28"/>
      <c r="Y18" s="47">
        <v>609</v>
      </c>
      <c r="Z18" s="28"/>
      <c r="AA18" s="47">
        <v>609</v>
      </c>
      <c r="AB18" s="28"/>
      <c r="AC18" s="47">
        <v>609</v>
      </c>
      <c r="AD18" s="85"/>
      <c r="AE18" s="47">
        <v>609</v>
      </c>
      <c r="AF18" s="28"/>
      <c r="AG18" s="48">
        <v>609</v>
      </c>
    </row>
    <row r="19" spans="2:33" s="50" customFormat="1" ht="15.75" x14ac:dyDescent="0.25">
      <c r="B19" s="19" t="s">
        <v>8</v>
      </c>
      <c r="C19" s="70"/>
      <c r="D19" s="70"/>
      <c r="E19" s="31">
        <v>0.23750000000000002</v>
      </c>
      <c r="F19" s="70"/>
      <c r="G19" s="31">
        <v>0.23750000000000002</v>
      </c>
      <c r="H19" s="70"/>
      <c r="I19" s="31">
        <v>0.23750000000000002</v>
      </c>
      <c r="J19" s="70"/>
      <c r="K19" s="31">
        <v>0.23750000000000002</v>
      </c>
      <c r="L19" s="70"/>
      <c r="M19" s="31">
        <v>0.23750000000000002</v>
      </c>
      <c r="N19" s="70"/>
      <c r="O19" s="31">
        <v>0.23750000000000002</v>
      </c>
      <c r="P19" s="70"/>
      <c r="Q19" s="31">
        <v>0.23750000000000002</v>
      </c>
      <c r="R19" s="70"/>
      <c r="S19" s="31">
        <v>0.23750000000000002</v>
      </c>
      <c r="T19" s="70"/>
      <c r="U19" s="31">
        <v>0.23750000000000002</v>
      </c>
      <c r="V19" s="70"/>
      <c r="W19" s="31">
        <v>0.23750000000000002</v>
      </c>
      <c r="X19" s="70"/>
      <c r="Y19" s="31">
        <v>0.23750000000000002</v>
      </c>
      <c r="Z19" s="70"/>
      <c r="AA19" s="31">
        <v>0.23750000000000002</v>
      </c>
      <c r="AB19" s="70"/>
      <c r="AC19" s="31">
        <v>0.23750000000000002</v>
      </c>
      <c r="AD19" s="70"/>
      <c r="AE19" s="31">
        <v>0.23750000000000002</v>
      </c>
      <c r="AF19" s="70"/>
      <c r="AG19" s="32">
        <v>0.23750000000000002</v>
      </c>
    </row>
    <row r="20" spans="2:33" s="51" customFormat="1" ht="15.75" x14ac:dyDescent="0.25">
      <c r="B20" s="33" t="s">
        <v>9</v>
      </c>
      <c r="C20" s="37"/>
      <c r="D20" s="71"/>
      <c r="E20" s="34" t="s">
        <v>12</v>
      </c>
      <c r="F20" s="88"/>
      <c r="G20" s="34" t="s">
        <v>12</v>
      </c>
      <c r="H20" s="88"/>
      <c r="I20" s="34" t="s">
        <v>12</v>
      </c>
      <c r="J20" s="88"/>
      <c r="K20" s="34" t="s">
        <v>12</v>
      </c>
      <c r="L20" s="88"/>
      <c r="M20" s="34" t="s">
        <v>12</v>
      </c>
      <c r="N20" s="88"/>
      <c r="O20" s="34" t="s">
        <v>12</v>
      </c>
      <c r="P20" s="88"/>
      <c r="Q20" s="34" t="s">
        <v>12</v>
      </c>
      <c r="R20" s="88"/>
      <c r="S20" s="34" t="s">
        <v>12</v>
      </c>
      <c r="T20" s="88"/>
      <c r="U20" s="34" t="s">
        <v>12</v>
      </c>
      <c r="V20" s="114"/>
      <c r="W20" s="34" t="s">
        <v>12</v>
      </c>
      <c r="X20" s="88"/>
      <c r="Y20" s="34" t="s">
        <v>12</v>
      </c>
      <c r="Z20" s="88"/>
      <c r="AA20" s="34" t="s">
        <v>12</v>
      </c>
      <c r="AB20" s="88"/>
      <c r="AC20" s="34" t="s">
        <v>12</v>
      </c>
      <c r="AD20" s="114"/>
      <c r="AE20" s="34" t="s">
        <v>12</v>
      </c>
      <c r="AF20" s="88"/>
      <c r="AG20" s="42" t="s">
        <v>12</v>
      </c>
    </row>
    <row r="21" spans="2:33" s="51" customFormat="1" ht="15.75" x14ac:dyDescent="0.25">
      <c r="B21" s="30" t="s">
        <v>10</v>
      </c>
      <c r="C21" s="52"/>
      <c r="D21" s="71"/>
      <c r="E21" s="31" t="s">
        <v>19</v>
      </c>
      <c r="F21" s="112"/>
      <c r="G21" s="31" t="s">
        <v>19</v>
      </c>
      <c r="H21" s="112"/>
      <c r="I21" s="31" t="s">
        <v>19</v>
      </c>
      <c r="J21" s="112"/>
      <c r="K21" s="31" t="s">
        <v>19</v>
      </c>
      <c r="L21" s="112"/>
      <c r="M21" s="31" t="s">
        <v>19</v>
      </c>
      <c r="N21" s="112"/>
      <c r="O21" s="31" t="s">
        <v>19</v>
      </c>
      <c r="P21" s="112"/>
      <c r="Q21" s="31" t="s">
        <v>19</v>
      </c>
      <c r="R21" s="112"/>
      <c r="S21" s="31" t="s">
        <v>19</v>
      </c>
      <c r="T21" s="112"/>
      <c r="U21" s="31" t="s">
        <v>19</v>
      </c>
      <c r="V21" s="114"/>
      <c r="W21" s="31" t="s">
        <v>19</v>
      </c>
      <c r="X21" s="112"/>
      <c r="Y21" s="31" t="s">
        <v>19</v>
      </c>
      <c r="Z21" s="112"/>
      <c r="AA21" s="31" t="s">
        <v>19</v>
      </c>
      <c r="AB21" s="112"/>
      <c r="AC21" s="31" t="s">
        <v>19</v>
      </c>
      <c r="AD21" s="114"/>
      <c r="AE21" s="31" t="s">
        <v>19</v>
      </c>
      <c r="AF21" s="112"/>
      <c r="AG21" s="32" t="s">
        <v>19</v>
      </c>
    </row>
    <row r="22" spans="2:33" s="2" customFormat="1" ht="16.5" thickBot="1" x14ac:dyDescent="0.3">
      <c r="B22" s="44" t="s">
        <v>11</v>
      </c>
      <c r="C22" s="45"/>
      <c r="D22" s="18"/>
      <c r="E22" s="45"/>
      <c r="F22" s="18"/>
      <c r="G22" s="45"/>
      <c r="H22" s="18"/>
      <c r="I22" s="45"/>
      <c r="J22" s="18"/>
      <c r="K22" s="45"/>
      <c r="L22" s="18"/>
      <c r="M22" s="45"/>
      <c r="N22" s="18"/>
      <c r="O22" s="45"/>
      <c r="P22" s="18"/>
      <c r="Q22" s="45"/>
      <c r="R22" s="18"/>
      <c r="S22" s="45"/>
      <c r="T22" s="18"/>
      <c r="U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  <c r="AG22" s="91"/>
    </row>
    <row r="23" spans="2:33" s="2" customFormat="1" ht="15.75" x14ac:dyDescent="0.25">
      <c r="B23" s="74" t="s">
        <v>7</v>
      </c>
      <c r="C23" s="53">
        <v>117</v>
      </c>
      <c r="D23" s="75"/>
      <c r="E23" s="53">
        <v>117</v>
      </c>
      <c r="F23" s="75"/>
      <c r="G23" s="53">
        <v>117</v>
      </c>
      <c r="H23" s="75"/>
      <c r="I23" s="53">
        <v>117</v>
      </c>
      <c r="J23" s="75"/>
      <c r="K23" s="53">
        <v>117</v>
      </c>
      <c r="L23" s="75"/>
      <c r="M23" s="53">
        <v>117</v>
      </c>
      <c r="N23" s="75"/>
      <c r="O23" s="53">
        <v>117</v>
      </c>
      <c r="P23" s="75"/>
      <c r="Q23" s="53">
        <v>117</v>
      </c>
      <c r="R23" s="75"/>
      <c r="S23" s="53">
        <v>117</v>
      </c>
      <c r="T23" s="75"/>
      <c r="U23" s="53">
        <v>117</v>
      </c>
      <c r="V23" s="75"/>
      <c r="W23" s="53">
        <v>117</v>
      </c>
      <c r="X23" s="75"/>
      <c r="Y23" s="53">
        <v>117</v>
      </c>
      <c r="Z23" s="75"/>
      <c r="AA23" s="53">
        <v>117</v>
      </c>
      <c r="AB23" s="75"/>
      <c r="AC23" s="53">
        <v>117</v>
      </c>
      <c r="AD23" s="75"/>
      <c r="AE23" s="53">
        <v>117</v>
      </c>
      <c r="AF23" s="75"/>
      <c r="AG23" s="98">
        <v>117</v>
      </c>
    </row>
    <row r="24" spans="2:33" s="2" customFormat="1" ht="15.75" x14ac:dyDescent="0.25">
      <c r="B24" s="19" t="s">
        <v>8</v>
      </c>
      <c r="C24" s="31">
        <v>0.93125000000000002</v>
      </c>
      <c r="D24" s="73"/>
      <c r="E24" s="31">
        <v>0.93125000000000002</v>
      </c>
      <c r="F24" s="73"/>
      <c r="G24" s="31">
        <v>0.93125000000000002</v>
      </c>
      <c r="H24" s="73"/>
      <c r="I24" s="31">
        <v>0.93125000000000002</v>
      </c>
      <c r="J24" s="73"/>
      <c r="K24" s="31">
        <v>0.93125000000000002</v>
      </c>
      <c r="L24" s="73"/>
      <c r="M24" s="31">
        <v>0.93125000000000002</v>
      </c>
      <c r="N24" s="73"/>
      <c r="O24" s="31">
        <v>0.93125000000000002</v>
      </c>
      <c r="P24" s="73"/>
      <c r="Q24" s="31">
        <v>0.93125000000000002</v>
      </c>
      <c r="R24" s="73"/>
      <c r="S24" s="31">
        <v>0.93125000000000002</v>
      </c>
      <c r="T24" s="73"/>
      <c r="U24" s="31">
        <v>0.93125000000000002</v>
      </c>
      <c r="V24" s="73"/>
      <c r="W24" s="31">
        <v>0.93125000000000002</v>
      </c>
      <c r="X24" s="73"/>
      <c r="Y24" s="31">
        <v>0.93125000000000002</v>
      </c>
      <c r="Z24" s="73"/>
      <c r="AA24" s="31">
        <v>0.93125000000000002</v>
      </c>
      <c r="AB24" s="73"/>
      <c r="AC24" s="31">
        <v>0.93125000000000002</v>
      </c>
      <c r="AD24" s="73"/>
      <c r="AE24" s="31">
        <v>0.93125000000000002</v>
      </c>
      <c r="AF24" s="73"/>
      <c r="AG24" s="32">
        <v>0.93125000000000002</v>
      </c>
    </row>
    <row r="25" spans="2:33" s="2" customFormat="1" ht="15.75" x14ac:dyDescent="0.25">
      <c r="B25" s="33" t="s">
        <v>9</v>
      </c>
      <c r="C25" s="34">
        <v>610</v>
      </c>
      <c r="D25" s="73"/>
      <c r="E25" s="34">
        <v>610</v>
      </c>
      <c r="F25" s="73"/>
      <c r="G25" s="34">
        <v>610</v>
      </c>
      <c r="H25" s="73"/>
      <c r="I25" s="34">
        <v>610</v>
      </c>
      <c r="J25" s="73"/>
      <c r="K25" s="34">
        <v>610</v>
      </c>
      <c r="L25" s="73"/>
      <c r="M25" s="34">
        <v>610</v>
      </c>
      <c r="N25" s="73"/>
      <c r="O25" s="34">
        <v>610</v>
      </c>
      <c r="P25" s="73"/>
      <c r="Q25" s="34">
        <v>610</v>
      </c>
      <c r="R25" s="73"/>
      <c r="S25" s="34">
        <v>610</v>
      </c>
      <c r="T25" s="73"/>
      <c r="U25" s="34">
        <v>610</v>
      </c>
      <c r="V25" s="73"/>
      <c r="W25" s="34">
        <v>610</v>
      </c>
      <c r="X25" s="73"/>
      <c r="Y25" s="34">
        <v>610</v>
      </c>
      <c r="Z25" s="73"/>
      <c r="AA25" s="34">
        <v>610</v>
      </c>
      <c r="AB25" s="73"/>
      <c r="AC25" s="34">
        <v>610</v>
      </c>
      <c r="AD25" s="73"/>
      <c r="AE25" s="34">
        <v>610</v>
      </c>
      <c r="AF25" s="73"/>
      <c r="AG25" s="42">
        <v>610</v>
      </c>
    </row>
    <row r="26" spans="2:33" s="2" customFormat="1" ht="15.75" x14ac:dyDescent="0.25">
      <c r="B26" s="30" t="s">
        <v>10</v>
      </c>
      <c r="C26" s="31">
        <v>0.94097222222222221</v>
      </c>
      <c r="D26" s="73"/>
      <c r="E26" s="31">
        <v>0.94097222222222221</v>
      </c>
      <c r="F26" s="73"/>
      <c r="G26" s="31">
        <v>0.94097222222222221</v>
      </c>
      <c r="H26" s="73"/>
      <c r="I26" s="31">
        <v>0.94097222222222221</v>
      </c>
      <c r="J26" s="73"/>
      <c r="K26" s="31">
        <v>0.94097222222222221</v>
      </c>
      <c r="L26" s="73"/>
      <c r="M26" s="31">
        <v>0.94097222222222221</v>
      </c>
      <c r="N26" s="73"/>
      <c r="O26" s="31">
        <v>0.94097222222222221</v>
      </c>
      <c r="P26" s="73"/>
      <c r="Q26" s="31">
        <v>0.94097222222222221</v>
      </c>
      <c r="R26" s="73"/>
      <c r="S26" s="31">
        <v>0.94097222222222221</v>
      </c>
      <c r="T26" s="73"/>
      <c r="U26" s="31">
        <v>0.94097222222222221</v>
      </c>
      <c r="V26" s="73"/>
      <c r="W26" s="31">
        <v>0.94097222222222221</v>
      </c>
      <c r="X26" s="73"/>
      <c r="Y26" s="31">
        <v>0.94097222222222221</v>
      </c>
      <c r="Z26" s="73"/>
      <c r="AA26" s="31">
        <v>0.94097222222222221</v>
      </c>
      <c r="AB26" s="73"/>
      <c r="AC26" s="31">
        <v>0.94097222222222221</v>
      </c>
      <c r="AD26" s="73"/>
      <c r="AE26" s="31">
        <v>0.94097222222222221</v>
      </c>
      <c r="AF26" s="73"/>
      <c r="AG26" s="32">
        <v>0.94097222222222221</v>
      </c>
    </row>
    <row r="27" spans="2:33" s="2" customFormat="1" ht="16.5" thickBot="1" x14ac:dyDescent="0.3">
      <c r="B27" s="82" t="s">
        <v>11</v>
      </c>
      <c r="C27" s="11">
        <f>C26-C24</f>
        <v>9.7222222222221877E-3</v>
      </c>
      <c r="D27" s="93"/>
      <c r="E27" s="11">
        <f t="shared" ref="E27" si="13">E26-E24</f>
        <v>9.7222222222221877E-3</v>
      </c>
      <c r="F27" s="93"/>
      <c r="G27" s="11">
        <f t="shared" ref="G27" si="14">G26-G24</f>
        <v>9.7222222222221877E-3</v>
      </c>
      <c r="H27" s="93"/>
      <c r="I27" s="11">
        <f t="shared" ref="I27" si="15">I26-I24</f>
        <v>9.7222222222221877E-3</v>
      </c>
      <c r="J27" s="93"/>
      <c r="K27" s="11">
        <f t="shared" ref="K27" si="16">K26-K24</f>
        <v>9.7222222222221877E-3</v>
      </c>
      <c r="L27" s="93"/>
      <c r="M27" s="11">
        <f t="shared" ref="M27" si="17">M26-M24</f>
        <v>9.7222222222221877E-3</v>
      </c>
      <c r="N27" s="93"/>
      <c r="O27" s="11">
        <f t="shared" ref="O27" si="18">O26-O24</f>
        <v>9.7222222222221877E-3</v>
      </c>
      <c r="P27" s="93"/>
      <c r="Q27" s="11">
        <f t="shared" ref="Q27" si="19">Q26-Q24</f>
        <v>9.7222222222221877E-3</v>
      </c>
      <c r="R27" s="93"/>
      <c r="S27" s="11">
        <f t="shared" ref="S27" si="20">S26-S24</f>
        <v>9.7222222222221877E-3</v>
      </c>
      <c r="T27" s="93"/>
      <c r="U27" s="11">
        <f t="shared" ref="U27" si="21">U26-U24</f>
        <v>9.7222222222221877E-3</v>
      </c>
      <c r="V27" s="93"/>
      <c r="W27" s="11">
        <f t="shared" ref="W27" si="22">W26-W24</f>
        <v>9.7222222222221877E-3</v>
      </c>
      <c r="X27" s="93"/>
      <c r="Y27" s="11">
        <f t="shared" ref="Y27" si="23">Y26-Y24</f>
        <v>9.7222222222221877E-3</v>
      </c>
      <c r="Z27" s="93"/>
      <c r="AA27" s="11">
        <f t="shared" ref="AA27" si="24">AA26-AA24</f>
        <v>9.7222222222221877E-3</v>
      </c>
      <c r="AB27" s="93"/>
      <c r="AC27" s="11">
        <f t="shared" ref="AC27" si="25">AC26-AC24</f>
        <v>9.7222222222221877E-3</v>
      </c>
      <c r="AD27" s="93"/>
      <c r="AE27" s="11">
        <f t="shared" ref="AE27" si="26">AE26-AE24</f>
        <v>9.7222222222221877E-3</v>
      </c>
      <c r="AF27" s="93"/>
      <c r="AG27" s="12">
        <f t="shared" ref="AG27" si="27">AG26-AG24</f>
        <v>9.7222222222221877E-3</v>
      </c>
    </row>
    <row r="28" spans="2:33" s="54" customFormat="1" ht="15.75" x14ac:dyDescent="0.25">
      <c r="B28" s="15" t="s">
        <v>7</v>
      </c>
      <c r="C28" s="47"/>
      <c r="D28" s="110" t="s">
        <v>12</v>
      </c>
      <c r="E28" s="110" t="s">
        <v>12</v>
      </c>
      <c r="F28" s="110" t="s">
        <v>12</v>
      </c>
      <c r="G28" s="110" t="s">
        <v>12</v>
      </c>
      <c r="H28" s="110" t="s">
        <v>12</v>
      </c>
      <c r="I28" s="110" t="s">
        <v>12</v>
      </c>
      <c r="J28" s="110" t="s">
        <v>12</v>
      </c>
      <c r="K28" s="110" t="s">
        <v>12</v>
      </c>
      <c r="L28" s="110" t="s">
        <v>12</v>
      </c>
      <c r="M28" s="110" t="s">
        <v>12</v>
      </c>
      <c r="N28" s="110" t="s">
        <v>12</v>
      </c>
      <c r="O28" s="110" t="s">
        <v>12</v>
      </c>
      <c r="P28" s="110" t="s">
        <v>12</v>
      </c>
      <c r="Q28" s="110" t="s">
        <v>12</v>
      </c>
      <c r="R28" s="110" t="s">
        <v>12</v>
      </c>
      <c r="S28" s="110" t="s">
        <v>12</v>
      </c>
      <c r="T28" s="110" t="s">
        <v>12</v>
      </c>
      <c r="U28" s="110" t="s">
        <v>12</v>
      </c>
      <c r="V28" s="110" t="s">
        <v>12</v>
      </c>
      <c r="W28" s="110" t="s">
        <v>12</v>
      </c>
      <c r="X28" s="110" t="s">
        <v>12</v>
      </c>
      <c r="Y28" s="110" t="s">
        <v>12</v>
      </c>
      <c r="Z28" s="110" t="s">
        <v>12</v>
      </c>
      <c r="AA28" s="110" t="s">
        <v>12</v>
      </c>
      <c r="AB28" s="110" t="s">
        <v>12</v>
      </c>
      <c r="AC28" s="110" t="s">
        <v>12</v>
      </c>
      <c r="AD28" s="110" t="s">
        <v>12</v>
      </c>
      <c r="AE28" s="110" t="s">
        <v>12</v>
      </c>
      <c r="AF28" s="110" t="s">
        <v>12</v>
      </c>
      <c r="AG28" s="111" t="s">
        <v>12</v>
      </c>
    </row>
    <row r="29" spans="2:33" s="54" customFormat="1" ht="15.75" x14ac:dyDescent="0.25">
      <c r="B29" s="14" t="s">
        <v>8</v>
      </c>
      <c r="C29" s="31"/>
      <c r="D29" s="112" t="s">
        <v>20</v>
      </c>
      <c r="E29" s="112" t="s">
        <v>20</v>
      </c>
      <c r="F29" s="112" t="s">
        <v>20</v>
      </c>
      <c r="G29" s="112" t="s">
        <v>20</v>
      </c>
      <c r="H29" s="112" t="s">
        <v>20</v>
      </c>
      <c r="I29" s="112" t="s">
        <v>20</v>
      </c>
      <c r="J29" s="112" t="s">
        <v>20</v>
      </c>
      <c r="K29" s="112" t="s">
        <v>20</v>
      </c>
      <c r="L29" s="112" t="s">
        <v>20</v>
      </c>
      <c r="M29" s="112" t="s">
        <v>20</v>
      </c>
      <c r="N29" s="112" t="s">
        <v>20</v>
      </c>
      <c r="O29" s="112" t="s">
        <v>20</v>
      </c>
      <c r="P29" s="112" t="s">
        <v>20</v>
      </c>
      <c r="Q29" s="112" t="s">
        <v>20</v>
      </c>
      <c r="R29" s="112" t="s">
        <v>20</v>
      </c>
      <c r="S29" s="112" t="s">
        <v>20</v>
      </c>
      <c r="T29" s="112" t="s">
        <v>20</v>
      </c>
      <c r="U29" s="112" t="s">
        <v>20</v>
      </c>
      <c r="V29" s="112" t="s">
        <v>20</v>
      </c>
      <c r="W29" s="112" t="s">
        <v>20</v>
      </c>
      <c r="X29" s="112" t="s">
        <v>20</v>
      </c>
      <c r="Y29" s="112" t="s">
        <v>20</v>
      </c>
      <c r="Z29" s="112" t="s">
        <v>20</v>
      </c>
      <c r="AA29" s="112" t="s">
        <v>20</v>
      </c>
      <c r="AB29" s="112" t="s">
        <v>20</v>
      </c>
      <c r="AC29" s="112" t="s">
        <v>20</v>
      </c>
      <c r="AD29" s="112" t="s">
        <v>20</v>
      </c>
      <c r="AE29" s="112" t="s">
        <v>20</v>
      </c>
      <c r="AF29" s="112" t="s">
        <v>20</v>
      </c>
      <c r="AG29" s="113" t="s">
        <v>20</v>
      </c>
    </row>
    <row r="30" spans="2:33" s="54" customFormat="1" ht="15.75" x14ac:dyDescent="0.25">
      <c r="B30" s="13" t="s">
        <v>9</v>
      </c>
      <c r="C30" s="59"/>
      <c r="D30" s="59">
        <v>108</v>
      </c>
      <c r="E30" s="59">
        <v>108</v>
      </c>
      <c r="F30" s="59">
        <v>108</v>
      </c>
      <c r="G30" s="59">
        <v>108</v>
      </c>
      <c r="H30" s="59">
        <v>108</v>
      </c>
      <c r="I30" s="59">
        <v>108</v>
      </c>
      <c r="J30" s="59">
        <v>108</v>
      </c>
      <c r="K30" s="59">
        <v>108</v>
      </c>
      <c r="L30" s="59">
        <v>108</v>
      </c>
      <c r="M30" s="59">
        <v>108</v>
      </c>
      <c r="N30" s="59">
        <v>108</v>
      </c>
      <c r="O30" s="59">
        <v>108</v>
      </c>
      <c r="P30" s="59">
        <v>108</v>
      </c>
      <c r="Q30" s="59">
        <v>108</v>
      </c>
      <c r="R30" s="59">
        <v>108</v>
      </c>
      <c r="S30" s="59">
        <v>108</v>
      </c>
      <c r="T30" s="59">
        <v>108</v>
      </c>
      <c r="U30" s="59">
        <v>108</v>
      </c>
      <c r="V30" s="59">
        <v>108</v>
      </c>
      <c r="W30" s="59">
        <v>108</v>
      </c>
      <c r="X30" s="59">
        <v>108</v>
      </c>
      <c r="Y30" s="59">
        <v>108</v>
      </c>
      <c r="Z30" s="59">
        <v>108</v>
      </c>
      <c r="AA30" s="59">
        <v>108</v>
      </c>
      <c r="AB30" s="59">
        <v>108</v>
      </c>
      <c r="AC30" s="59">
        <v>108</v>
      </c>
      <c r="AD30" s="59">
        <v>108</v>
      </c>
      <c r="AE30" s="59">
        <v>108</v>
      </c>
      <c r="AF30" s="59">
        <v>108</v>
      </c>
      <c r="AG30" s="60">
        <v>108</v>
      </c>
    </row>
    <row r="31" spans="2:33" s="55" customFormat="1" ht="15.75" x14ac:dyDescent="0.25">
      <c r="B31" s="14" t="s">
        <v>10</v>
      </c>
      <c r="C31" s="61"/>
      <c r="D31" s="56">
        <v>0.90416666666666667</v>
      </c>
      <c r="E31" s="56">
        <v>0.90416666666666667</v>
      </c>
      <c r="F31" s="56">
        <v>0.90416666666666667</v>
      </c>
      <c r="G31" s="56">
        <v>0.90416666666666667</v>
      </c>
      <c r="H31" s="56">
        <v>0.90416666666666667</v>
      </c>
      <c r="I31" s="56">
        <v>0.90416666666666667</v>
      </c>
      <c r="J31" s="56">
        <v>0.90416666666666667</v>
      </c>
      <c r="K31" s="56">
        <v>0.90416666666666667</v>
      </c>
      <c r="L31" s="56">
        <v>0.90416666666666667</v>
      </c>
      <c r="M31" s="56">
        <v>0.90416666666666667</v>
      </c>
      <c r="N31" s="56">
        <v>0.90416666666666667</v>
      </c>
      <c r="O31" s="56">
        <v>0.90416666666666667</v>
      </c>
      <c r="P31" s="56">
        <v>0.90416666666666667</v>
      </c>
      <c r="Q31" s="56">
        <v>0.90416666666666667</v>
      </c>
      <c r="R31" s="56">
        <v>0.90416666666666667</v>
      </c>
      <c r="S31" s="56">
        <v>0.90416666666666667</v>
      </c>
      <c r="T31" s="56">
        <v>0.90416666666666667</v>
      </c>
      <c r="U31" s="56">
        <v>0.90416666666666667</v>
      </c>
      <c r="V31" s="56">
        <v>0.90416666666666667</v>
      </c>
      <c r="W31" s="56">
        <v>0.90416666666666667</v>
      </c>
      <c r="X31" s="56">
        <v>0.90416666666666667</v>
      </c>
      <c r="Y31" s="56">
        <v>0.90416666666666667</v>
      </c>
      <c r="Z31" s="56">
        <v>0.90416666666666667</v>
      </c>
      <c r="AA31" s="56">
        <v>0.90416666666666667</v>
      </c>
      <c r="AB31" s="56">
        <v>0.90416666666666667</v>
      </c>
      <c r="AC31" s="56">
        <v>0.90416666666666667</v>
      </c>
      <c r="AD31" s="56">
        <v>0.90416666666666667</v>
      </c>
      <c r="AE31" s="56">
        <v>0.90416666666666667</v>
      </c>
      <c r="AF31" s="56">
        <v>0.90416666666666667</v>
      </c>
      <c r="AG31" s="57">
        <v>0.90416666666666667</v>
      </c>
    </row>
    <row r="32" spans="2:33" s="55" customFormat="1" ht="16.5" thickBot="1" x14ac:dyDescent="0.3">
      <c r="B32" s="16" t="s">
        <v>11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46"/>
    </row>
    <row r="33" spans="2:33" s="49" customFormat="1" ht="15.75" x14ac:dyDescent="0.25">
      <c r="B33" s="74" t="s">
        <v>7</v>
      </c>
      <c r="C33" s="84"/>
      <c r="D33" s="53">
        <v>73</v>
      </c>
      <c r="E33" s="92"/>
      <c r="F33" s="53">
        <v>73</v>
      </c>
      <c r="G33" s="92"/>
      <c r="H33" s="53">
        <v>73</v>
      </c>
      <c r="I33" s="92"/>
      <c r="J33" s="53">
        <v>73</v>
      </c>
      <c r="K33" s="92"/>
      <c r="L33" s="53">
        <v>73</v>
      </c>
      <c r="M33" s="92"/>
      <c r="N33" s="53">
        <v>73</v>
      </c>
      <c r="O33" s="92"/>
      <c r="P33" s="53">
        <v>73</v>
      </c>
      <c r="Q33" s="92"/>
      <c r="R33" s="53">
        <v>73</v>
      </c>
      <c r="S33" s="92"/>
      <c r="T33" s="53">
        <v>73</v>
      </c>
      <c r="U33" s="92"/>
      <c r="V33" s="53">
        <v>73</v>
      </c>
      <c r="W33" s="92"/>
      <c r="X33" s="53">
        <v>73</v>
      </c>
      <c r="Y33" s="92"/>
      <c r="Z33" s="53">
        <v>73</v>
      </c>
      <c r="AA33" s="92"/>
      <c r="AB33" s="53">
        <v>73</v>
      </c>
      <c r="AC33" s="92"/>
      <c r="AD33" s="53">
        <v>73</v>
      </c>
      <c r="AE33" s="92"/>
      <c r="AF33" s="53">
        <v>73</v>
      </c>
      <c r="AG33" s="99"/>
    </row>
    <row r="34" spans="2:33" s="49" customFormat="1" ht="15.75" x14ac:dyDescent="0.25">
      <c r="B34" s="30" t="s">
        <v>8</v>
      </c>
      <c r="C34" s="69"/>
      <c r="D34" s="31">
        <v>0.99722222222222223</v>
      </c>
      <c r="E34" s="62"/>
      <c r="F34" s="31">
        <v>0.99722222222222223</v>
      </c>
      <c r="G34" s="62"/>
      <c r="H34" s="31">
        <v>0.99722222222222223</v>
      </c>
      <c r="I34" s="62"/>
      <c r="J34" s="31">
        <v>0.99722222222222223</v>
      </c>
      <c r="K34" s="62"/>
      <c r="L34" s="31">
        <v>0.99722222222222223</v>
      </c>
      <c r="M34" s="62"/>
      <c r="N34" s="31">
        <v>0.99722222222222223</v>
      </c>
      <c r="O34" s="62"/>
      <c r="P34" s="31">
        <v>0.99722222222222223</v>
      </c>
      <c r="Q34" s="62"/>
      <c r="R34" s="31">
        <v>0.99722222222222223</v>
      </c>
      <c r="S34" s="62"/>
      <c r="T34" s="31">
        <v>0.99722222222222223</v>
      </c>
      <c r="U34" s="62"/>
      <c r="V34" s="31">
        <v>0.99722222222222223</v>
      </c>
      <c r="W34" s="62"/>
      <c r="X34" s="31">
        <v>0.99722222222222223</v>
      </c>
      <c r="Y34" s="62"/>
      <c r="Z34" s="31">
        <v>0.99722222222222223</v>
      </c>
      <c r="AA34" s="62"/>
      <c r="AB34" s="31">
        <v>0.99722222222222223</v>
      </c>
      <c r="AC34" s="62"/>
      <c r="AD34" s="31">
        <v>0.99722222222222223</v>
      </c>
      <c r="AE34" s="62"/>
      <c r="AF34" s="31">
        <v>0.99722222222222223</v>
      </c>
      <c r="AG34" s="63"/>
    </row>
    <row r="35" spans="2:33" s="51" customFormat="1" ht="15.75" x14ac:dyDescent="0.25">
      <c r="B35" s="33" t="s">
        <v>9</v>
      </c>
      <c r="C35" s="71"/>
      <c r="D35" s="35" t="s">
        <v>18</v>
      </c>
      <c r="E35" s="34">
        <v>66</v>
      </c>
      <c r="F35" s="35" t="s">
        <v>18</v>
      </c>
      <c r="G35" s="34">
        <v>66</v>
      </c>
      <c r="H35" s="35" t="s">
        <v>18</v>
      </c>
      <c r="I35" s="34">
        <v>66</v>
      </c>
      <c r="J35" s="35" t="s">
        <v>18</v>
      </c>
      <c r="K35" s="34">
        <v>66</v>
      </c>
      <c r="L35" s="35" t="s">
        <v>18</v>
      </c>
      <c r="M35" s="34">
        <v>66</v>
      </c>
      <c r="N35" s="35" t="s">
        <v>18</v>
      </c>
      <c r="O35" s="34">
        <v>66</v>
      </c>
      <c r="P35" s="35" t="s">
        <v>18</v>
      </c>
      <c r="Q35" s="34">
        <v>66</v>
      </c>
      <c r="R35" s="35" t="s">
        <v>18</v>
      </c>
      <c r="S35" s="34">
        <v>66</v>
      </c>
      <c r="T35" s="35" t="s">
        <v>18</v>
      </c>
      <c r="U35" s="34">
        <v>66</v>
      </c>
      <c r="V35" s="35" t="s">
        <v>18</v>
      </c>
      <c r="W35" s="34">
        <v>66</v>
      </c>
      <c r="X35" s="35" t="s">
        <v>18</v>
      </c>
      <c r="Y35" s="34">
        <v>66</v>
      </c>
      <c r="Z35" s="35" t="s">
        <v>18</v>
      </c>
      <c r="AA35" s="34">
        <v>66</v>
      </c>
      <c r="AB35" s="35" t="s">
        <v>18</v>
      </c>
      <c r="AC35" s="34">
        <v>66</v>
      </c>
      <c r="AD35" s="35" t="s">
        <v>18</v>
      </c>
      <c r="AE35" s="34">
        <v>66</v>
      </c>
      <c r="AF35" s="35" t="s">
        <v>18</v>
      </c>
      <c r="AG35" s="42">
        <v>66</v>
      </c>
    </row>
    <row r="36" spans="2:33" s="51" customFormat="1" ht="15.75" x14ac:dyDescent="0.25">
      <c r="B36" s="30" t="s">
        <v>10</v>
      </c>
      <c r="C36" s="71"/>
      <c r="D36" s="31"/>
      <c r="E36" s="36">
        <v>1.1284722222222221</v>
      </c>
      <c r="F36" s="31"/>
      <c r="G36" s="36">
        <v>1.1284722222222221</v>
      </c>
      <c r="H36" s="31"/>
      <c r="I36" s="36">
        <v>1.1284722222222221</v>
      </c>
      <c r="J36" s="31"/>
      <c r="K36" s="36">
        <v>1.1284722222222221</v>
      </c>
      <c r="L36" s="31"/>
      <c r="M36" s="36">
        <v>1.1284722222222221</v>
      </c>
      <c r="N36" s="31"/>
      <c r="O36" s="36">
        <v>1.1284722222222221</v>
      </c>
      <c r="P36" s="31"/>
      <c r="Q36" s="36">
        <v>1.1284722222222221</v>
      </c>
      <c r="R36" s="31"/>
      <c r="S36" s="36">
        <v>1.1284722222222221</v>
      </c>
      <c r="T36" s="31"/>
      <c r="U36" s="36">
        <v>1.1284722222222221</v>
      </c>
      <c r="V36" s="31"/>
      <c r="W36" s="36">
        <v>1.1284722222222221</v>
      </c>
      <c r="X36" s="31"/>
      <c r="Y36" s="36">
        <v>1.1284722222222221</v>
      </c>
      <c r="Z36" s="31"/>
      <c r="AA36" s="36">
        <v>1.1284722222222221</v>
      </c>
      <c r="AB36" s="31"/>
      <c r="AC36" s="36">
        <v>1.1284722222222221</v>
      </c>
      <c r="AD36" s="31"/>
      <c r="AE36" s="36">
        <v>1.1284722222222221</v>
      </c>
      <c r="AF36" s="31"/>
      <c r="AG36" s="97">
        <v>1.1284722222222221</v>
      </c>
    </row>
    <row r="37" spans="2:33" s="2" customFormat="1" ht="16.5" thickBot="1" x14ac:dyDescent="0.3">
      <c r="B37" s="44" t="s">
        <v>11</v>
      </c>
      <c r="C37" s="73"/>
      <c r="D37" s="58"/>
      <c r="E37" s="23">
        <f>E36-D34</f>
        <v>0.13124999999999987</v>
      </c>
      <c r="F37" s="18"/>
      <c r="G37" s="38">
        <f>G36-F34</f>
        <v>0.13124999999999987</v>
      </c>
      <c r="H37" s="18"/>
      <c r="I37" s="38">
        <f>I36-H34</f>
        <v>0.13124999999999987</v>
      </c>
      <c r="J37" s="18"/>
      <c r="K37" s="38">
        <f>K36-J34</f>
        <v>0.13124999999999987</v>
      </c>
      <c r="L37" s="18"/>
      <c r="M37" s="38">
        <f>M36-L34</f>
        <v>0.13124999999999987</v>
      </c>
      <c r="N37" s="18"/>
      <c r="O37" s="38">
        <f>O36-N34</f>
        <v>0.13124999999999987</v>
      </c>
      <c r="P37" s="18"/>
      <c r="Q37" s="38">
        <f>Q36-P34</f>
        <v>0.13124999999999987</v>
      </c>
      <c r="R37" s="18"/>
      <c r="S37" s="38">
        <f>S36-R34</f>
        <v>0.13124999999999987</v>
      </c>
      <c r="T37" s="18"/>
      <c r="U37" s="38">
        <f>U36-T34</f>
        <v>0.13124999999999987</v>
      </c>
      <c r="V37" s="18"/>
      <c r="W37" s="38">
        <f>W36-V34</f>
        <v>0.13124999999999987</v>
      </c>
      <c r="X37" s="18"/>
      <c r="Y37" s="38">
        <f>Y36-X34</f>
        <v>0.13124999999999987</v>
      </c>
      <c r="Z37" s="18"/>
      <c r="AA37" s="38">
        <f>AA36-Z34</f>
        <v>0.13124999999999987</v>
      </c>
      <c r="AB37" s="18"/>
      <c r="AC37" s="38">
        <f>AC36-AB34</f>
        <v>0.13124999999999987</v>
      </c>
      <c r="AD37" s="18"/>
      <c r="AE37" s="38">
        <f>AE36-AD34</f>
        <v>0.13124999999999987</v>
      </c>
      <c r="AF37" s="18"/>
      <c r="AG37" s="100">
        <f>AG36-AF34</f>
        <v>0.13124999999999987</v>
      </c>
    </row>
    <row r="38" spans="2:33" s="2" customFormat="1" ht="15.75" x14ac:dyDescent="0.25">
      <c r="B38" s="64" t="s">
        <v>17</v>
      </c>
      <c r="C38" s="3">
        <v>1</v>
      </c>
      <c r="D38" s="4">
        <v>2</v>
      </c>
      <c r="E38" s="3">
        <v>3</v>
      </c>
      <c r="F38" s="4">
        <v>4</v>
      </c>
      <c r="G38" s="3">
        <v>5</v>
      </c>
      <c r="H38" s="4">
        <v>6</v>
      </c>
      <c r="I38" s="3">
        <v>7</v>
      </c>
      <c r="J38" s="4">
        <v>8</v>
      </c>
      <c r="K38" s="3">
        <v>9</v>
      </c>
      <c r="L38" s="4">
        <v>10</v>
      </c>
      <c r="M38" s="3">
        <v>11</v>
      </c>
      <c r="N38" s="4">
        <v>12</v>
      </c>
      <c r="O38" s="3">
        <v>13</v>
      </c>
      <c r="P38" s="4">
        <v>14</v>
      </c>
      <c r="Q38" s="3">
        <v>15</v>
      </c>
      <c r="R38" s="4">
        <v>16</v>
      </c>
      <c r="S38" s="3">
        <v>17</v>
      </c>
      <c r="T38" s="4">
        <v>18</v>
      </c>
      <c r="U38" s="3">
        <v>19</v>
      </c>
      <c r="V38" s="4">
        <v>20</v>
      </c>
      <c r="W38" s="3">
        <v>21</v>
      </c>
      <c r="X38" s="4">
        <v>22</v>
      </c>
      <c r="Y38" s="3">
        <v>23</v>
      </c>
      <c r="Z38" s="4">
        <v>24</v>
      </c>
      <c r="AA38" s="3">
        <v>25</v>
      </c>
      <c r="AB38" s="4">
        <v>26</v>
      </c>
      <c r="AC38" s="3">
        <v>27</v>
      </c>
      <c r="AD38" s="4">
        <v>28</v>
      </c>
      <c r="AE38" s="3">
        <v>29</v>
      </c>
      <c r="AF38" s="4">
        <v>30</v>
      </c>
      <c r="AG38" s="95">
        <v>31</v>
      </c>
    </row>
    <row r="39" spans="2:33" s="2" customFormat="1" ht="16.5" thickBot="1" x14ac:dyDescent="0.3">
      <c r="B39" s="65"/>
      <c r="C39" s="7" t="s">
        <v>4</v>
      </c>
      <c r="D39" s="7" t="s">
        <v>5</v>
      </c>
      <c r="E39" s="7" t="s">
        <v>6</v>
      </c>
      <c r="F39" s="7" t="s">
        <v>0</v>
      </c>
      <c r="G39" s="7" t="s">
        <v>1</v>
      </c>
      <c r="H39" s="7" t="s">
        <v>2</v>
      </c>
      <c r="I39" s="7" t="s">
        <v>3</v>
      </c>
      <c r="J39" s="7" t="s">
        <v>4</v>
      </c>
      <c r="K39" s="7" t="s">
        <v>5</v>
      </c>
      <c r="L39" s="7" t="s">
        <v>6</v>
      </c>
      <c r="M39" s="7" t="s">
        <v>0</v>
      </c>
      <c r="N39" s="7" t="s">
        <v>1</v>
      </c>
      <c r="O39" s="7" t="s">
        <v>2</v>
      </c>
      <c r="P39" s="7" t="s">
        <v>3</v>
      </c>
      <c r="Q39" s="7" t="s">
        <v>4</v>
      </c>
      <c r="R39" s="7" t="s">
        <v>5</v>
      </c>
      <c r="S39" s="7" t="s">
        <v>6</v>
      </c>
      <c r="T39" s="7" t="s">
        <v>0</v>
      </c>
      <c r="U39" s="7" t="s">
        <v>1</v>
      </c>
      <c r="V39" s="7" t="s">
        <v>2</v>
      </c>
      <c r="W39" s="7" t="s">
        <v>3</v>
      </c>
      <c r="X39" s="7" t="s">
        <v>4</v>
      </c>
      <c r="Y39" s="7" t="s">
        <v>5</v>
      </c>
      <c r="Z39" s="7" t="s">
        <v>6</v>
      </c>
      <c r="AA39" s="7" t="s">
        <v>0</v>
      </c>
      <c r="AB39" s="7" t="s">
        <v>1</v>
      </c>
      <c r="AC39" s="7" t="s">
        <v>2</v>
      </c>
      <c r="AD39" s="7" t="s">
        <v>3</v>
      </c>
      <c r="AE39" s="7" t="s">
        <v>4</v>
      </c>
      <c r="AF39" s="7" t="s">
        <v>5</v>
      </c>
      <c r="AG39" s="9" t="s">
        <v>6</v>
      </c>
    </row>
    <row r="40" spans="2:33" s="2" customFormat="1" ht="15.75" x14ac:dyDescent="0.25"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3" spans="2:33" x14ac:dyDescent="0.25">
      <c r="C43" s="66"/>
      <c r="D43" s="66"/>
      <c r="E43" s="66"/>
      <c r="F43" s="66"/>
      <c r="G43" s="66"/>
    </row>
    <row r="44" spans="2:33" x14ac:dyDescent="0.25">
      <c r="C44" s="66"/>
      <c r="D44" s="66"/>
      <c r="E44" s="66"/>
      <c r="F44" s="66"/>
      <c r="G44" s="66"/>
    </row>
    <row r="48" spans="2:33" x14ac:dyDescent="0.25">
      <c r="C48"/>
      <c r="D48"/>
      <c r="E48"/>
      <c r="F48"/>
      <c r="G48"/>
      <c r="H48"/>
      <c r="I48"/>
      <c r="J48"/>
      <c r="K48"/>
      <c r="L48"/>
      <c r="M48"/>
      <c r="N48"/>
    </row>
  </sheetData>
  <mergeCells count="6">
    <mergeCell ref="C4:N4"/>
    <mergeCell ref="B6:B7"/>
    <mergeCell ref="B38:B39"/>
    <mergeCell ref="C43:G43"/>
    <mergeCell ref="C44:G44"/>
    <mergeCell ref="B5:A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 14.12.2025г</vt:lpstr>
      <vt:lpstr>январь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2025-12-12T11:23:49Z</dcterms:modified>
</cp:coreProperties>
</file>