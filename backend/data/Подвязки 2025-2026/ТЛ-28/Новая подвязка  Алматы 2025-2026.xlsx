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E9EABDC-8B56-4406-A70D-AACA4062CF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Новая" sheetId="14" r:id="rId1"/>
    <sheet name="Лист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1" i="14" l="1"/>
  <c r="G101" i="14"/>
  <c r="I101" i="14"/>
  <c r="K101" i="14"/>
  <c r="M101" i="14"/>
  <c r="O101" i="14"/>
  <c r="Q101" i="14"/>
  <c r="C101" i="14"/>
  <c r="B93" i="14"/>
  <c r="C93" i="14"/>
  <c r="D93" i="14"/>
  <c r="E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C95" i="14" l="1"/>
  <c r="B95" i="14"/>
  <c r="T56" i="14" l="1"/>
  <c r="U56" i="14"/>
  <c r="T57" i="14"/>
  <c r="U57" i="14"/>
  <c r="B56" i="14"/>
  <c r="B57" i="14"/>
  <c r="C57" i="14"/>
  <c r="C56" i="14"/>
  <c r="C33" i="14"/>
  <c r="C31" i="14"/>
  <c r="AB85" i="14" l="1"/>
  <c r="Z85" i="14"/>
  <c r="U85" i="14"/>
  <c r="S85" i="14"/>
  <c r="N85" i="14"/>
  <c r="L85" i="14"/>
  <c r="G85" i="14"/>
  <c r="E85" i="14"/>
  <c r="AC41" i="14"/>
  <c r="AA41" i="14"/>
  <c r="Y41" i="14"/>
  <c r="W41" i="14"/>
  <c r="U41" i="14"/>
  <c r="N25" i="15"/>
  <c r="N21" i="15"/>
  <c r="AC57" i="14" l="1"/>
  <c r="AB57" i="14"/>
  <c r="AA57" i="14"/>
  <c r="Z57" i="14"/>
  <c r="Y57" i="14"/>
  <c r="X57" i="14"/>
  <c r="W57" i="14"/>
  <c r="V57" i="14"/>
  <c r="AC56" i="14"/>
  <c r="AB56" i="14"/>
  <c r="AA56" i="14"/>
  <c r="Z56" i="14"/>
  <c r="Y56" i="14"/>
  <c r="X56" i="14"/>
  <c r="W56" i="14"/>
  <c r="V56" i="14"/>
  <c r="AC33" i="14"/>
  <c r="AB33" i="14"/>
  <c r="AA33" i="14"/>
  <c r="Z33" i="14"/>
  <c r="Y33" i="14"/>
  <c r="X33" i="14"/>
  <c r="W33" i="14"/>
  <c r="V33" i="14"/>
  <c r="U33" i="14"/>
  <c r="T33" i="14"/>
  <c r="AC31" i="14"/>
  <c r="AB31" i="14"/>
  <c r="AA31" i="14"/>
  <c r="Z31" i="14"/>
  <c r="Y31" i="14"/>
  <c r="X31" i="14"/>
  <c r="W31" i="14"/>
  <c r="V31" i="14"/>
  <c r="U31" i="14"/>
  <c r="T31" i="14"/>
  <c r="AC25" i="14"/>
  <c r="AB25" i="14"/>
  <c r="AA25" i="14"/>
  <c r="Z25" i="14"/>
  <c r="Y25" i="14"/>
  <c r="X25" i="14"/>
  <c r="W25" i="14"/>
  <c r="V25" i="14"/>
  <c r="U25" i="14"/>
  <c r="T25" i="14"/>
  <c r="AC23" i="14"/>
  <c r="AB23" i="14"/>
  <c r="AA23" i="14"/>
  <c r="Z23" i="14"/>
  <c r="Y23" i="14"/>
  <c r="X23" i="14"/>
  <c r="W23" i="14"/>
  <c r="V23" i="14"/>
  <c r="U23" i="14"/>
  <c r="T23" i="14"/>
  <c r="AB17" i="14"/>
  <c r="AA17" i="14"/>
  <c r="Z17" i="14"/>
  <c r="Y17" i="14"/>
  <c r="X17" i="14"/>
  <c r="W17" i="14"/>
  <c r="V17" i="14"/>
  <c r="U17" i="14"/>
  <c r="T17" i="14"/>
  <c r="AC15" i="14"/>
  <c r="AB15" i="14"/>
  <c r="AA15" i="14"/>
  <c r="Z15" i="14"/>
  <c r="Y15" i="14"/>
  <c r="X15" i="14"/>
  <c r="W15" i="14"/>
  <c r="V15" i="14"/>
  <c r="U15" i="14"/>
  <c r="S33" i="14" l="1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D57" i="14" l="1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S17" i="14" l="1"/>
  <c r="R17" i="14"/>
  <c r="S31" i="14" l="1"/>
  <c r="S25" i="14"/>
  <c r="S23" i="14"/>
  <c r="S15" i="14"/>
  <c r="R41" i="14"/>
  <c r="P41" i="14"/>
  <c r="N41" i="14"/>
  <c r="L41" i="14"/>
  <c r="J41" i="14"/>
  <c r="H41" i="14"/>
  <c r="F41" i="14"/>
  <c r="D4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R15" i="14"/>
  <c r="Q15" i="14"/>
  <c r="P15" i="14"/>
  <c r="O15" i="14"/>
  <c r="N15" i="14"/>
  <c r="M15" i="14"/>
  <c r="L15" i="14"/>
  <c r="K15" i="14"/>
  <c r="J15" i="14"/>
  <c r="I15" i="14"/>
  <c r="H15" i="14"/>
  <c r="G15" i="14"/>
</calcChain>
</file>

<file path=xl/sharedStrings.xml><?xml version="1.0" encoding="utf-8"?>
<sst xmlns="http://schemas.openxmlformats.org/spreadsheetml/2006/main" count="362" uniqueCount="81">
  <si>
    <t>наименование операций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</si>
  <si>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</si>
  <si>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</si>
  <si>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</si>
  <si>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</si>
  <si>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</si>
  <si>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</si>
  <si>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</si>
  <si>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</si>
  <si>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вт</t>
  </si>
  <si>
    <t>6932/34</t>
  </si>
  <si>
    <t>время прибытия поезда Алматы</t>
  </si>
  <si>
    <t>время простоя по Алматы</t>
  </si>
  <si>
    <t>время прибытие поезда в Павлодар</t>
  </si>
  <si>
    <t>время простоя локомотива по Павлодар</t>
  </si>
  <si>
    <t>Время отправления поезда с Алматы</t>
  </si>
  <si>
    <t>Время отправления с Алматы</t>
  </si>
  <si>
    <t>время прибытие поезда в Семей</t>
  </si>
  <si>
    <t>Время прибытия поезда Алматы</t>
  </si>
  <si>
    <t>вр.прибытие поезда на ст.Саяк</t>
  </si>
  <si>
    <t>Время прибытия поезда на ст.Актогай</t>
  </si>
  <si>
    <t>время простоя локомотива Актогай</t>
  </si>
  <si>
    <t>Время отправления со ст. Актогай</t>
  </si>
  <si>
    <t>вр.прибытие поезда на ст.Актогай</t>
  </si>
  <si>
    <t>Время отправления со ст. Достык</t>
  </si>
  <si>
    <t>время прибытия на ст.Достык</t>
  </si>
  <si>
    <t>время отправления поезда со ст.Саяк</t>
  </si>
  <si>
    <t>время простоя локомотива по ст.Актогай</t>
  </si>
  <si>
    <t>время отправления поезда на ст.Актогай</t>
  </si>
  <si>
    <t>время простоя локомотива по ст.Достык</t>
  </si>
  <si>
    <t>вр.прибытие поезда на ст.Алтынколь</t>
  </si>
  <si>
    <t>время отправления сост.Алматы</t>
  </si>
  <si>
    <t>время прибытия на ст.Алматы</t>
  </si>
  <si>
    <t>время простоя локомотива по ст.Алтынколь</t>
  </si>
  <si>
    <t>время простоя локомотива по ст.Алматы</t>
  </si>
  <si>
    <t>время отправления поезда со ст.Алтынколь</t>
  </si>
  <si>
    <t>время отправления поезда со ст.Семей</t>
  </si>
  <si>
    <t>время отправления поезда со ст.Павлодар</t>
  </si>
  <si>
    <t>время отправления поезда со ст.Актогай</t>
  </si>
  <si>
    <t>время простоя локомотива по Алматы</t>
  </si>
  <si>
    <t>время простоя локомотивапо ст.Актогай</t>
  </si>
  <si>
    <t>время простоя локомотива по Семей</t>
  </si>
  <si>
    <t>время прибытие поезда в Достык</t>
  </si>
  <si>
    <t>время отправления поезда со ст.Достык</t>
  </si>
  <si>
    <t>время простоя локомотива по Достык</t>
  </si>
  <si>
    <t>вр.прибытие поезда на ст.Оскемен</t>
  </si>
  <si>
    <t>время отправления поезда со ст.Оскемен</t>
  </si>
  <si>
    <t>время простоя локомотива по Оскемен</t>
  </si>
  <si>
    <t>Время отправления со ст. Казбек-Бек</t>
  </si>
  <si>
    <t>вр.прибытие поезда на станцию Алматы</t>
  </si>
  <si>
    <t>время прибытия на ст. Казбек-Бек</t>
  </si>
  <si>
    <t>время отправления поезда на ст. Алматы</t>
  </si>
  <si>
    <t>время простоя локомотивапо ст. Алматы</t>
  </si>
  <si>
    <t>УТВЕРЖДАЮ:</t>
  </si>
  <si>
    <t xml:space="preserve">                  ТЧЭЗД-28                                                                           С. Бердукулов</t>
  </si>
  <si>
    <t>вр.прибытие поезда на ст.Локоть</t>
  </si>
  <si>
    <t>время отправления поезда со ст.Локоть</t>
  </si>
  <si>
    <t>6948/47</t>
  </si>
  <si>
    <t>6953/54</t>
  </si>
  <si>
    <t>СОГЛАСОВАННО:</t>
  </si>
  <si>
    <t>ТЛ-28________________________Д. Рысбеков</t>
  </si>
  <si>
    <t>2:12/2:03</t>
  </si>
  <si>
    <t>ТЧЭ-28__________________________А. Сатыбалдин</t>
  </si>
  <si>
    <t>Составил: ТЛВИ-28                                                                            Д. Кыдыров</t>
  </si>
  <si>
    <t>6933/31</t>
  </si>
  <si>
    <t>ЯНВАРЬ 2025г</t>
  </si>
  <si>
    <t>время простоя локомотива по Семей (Локоть)</t>
  </si>
  <si>
    <t>6:55</t>
  </si>
  <si>
    <t>Подвязка тепловозов серии ТЭП33А под пассажирские поезда на новый график 2025-2026г.г.</t>
  </si>
  <si>
    <t>от "__________" _______________________2025год</t>
  </si>
  <si>
    <t>ДЕКАБРЬ</t>
  </si>
  <si>
    <t>11:54/14:50</t>
  </si>
  <si>
    <t>10:00/12:58</t>
  </si>
  <si>
    <t>5:45/18:39</t>
  </si>
  <si>
    <t>7:30/20:55</t>
  </si>
  <si>
    <t>время прибытие поезда в Чу</t>
  </si>
  <si>
    <t>время отправления поезда со ст.Чу</t>
  </si>
  <si>
    <t>время простоя локомотива по Чу</t>
  </si>
  <si>
    <t>Эксплуатация тепловозов серии ТЭП33А приписки ТЛТ-28 Алматы - 14 единиц</t>
  </si>
  <si>
    <t>Эксплуатация электровоза серии KZ4АТ приски ТЛТ-28 Алматы - 3 единицы курсируют под поезда 15/16, 43/44, 6947/6948, 6953/6954</t>
  </si>
  <si>
    <t>Примечание: Под приегородные поезда №6986/6985 Алматы-Алтынколь-Алматы, 6989/6990 Актогай - Саяк - Актогай курсируют арендованные тепловозы ТЭ33А - 3 единицы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</si>
</sst>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Calibri"/>
      <family val="2"/>
      <scheme val="minor"/>
    </font>
    <font>
      <b/>
      <sz val="20"/>
      <name val="Times New Roman"/>
      <family val="1"/>
      <charset val="204"/>
    </font>
    <font>
      <b/>
      <i/>
      <sz val="1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20" fontId="1" fillId="0" borderId="1" xfId="0" applyNumberFormat="1" applyFont="1" applyBorder="1" applyAlignment="1">
      <alignment horizontal="right"/>
    </xf>
    <xf numFmtId="20" fontId="1" fillId="0" borderId="1" xfId="0" applyNumberFormat="1" applyFont="1" applyBorder="1"/>
    <xf numFmtId="20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20" fontId="3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/>
    <xf numFmtId="20" fontId="1" fillId="0" borderId="3" xfId="0" applyNumberFormat="1" applyFont="1" applyBorder="1" applyAlignment="1">
      <alignment horizontal="left"/>
    </xf>
    <xf numFmtId="20" fontId="1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20" fontId="3" fillId="2" borderId="3" xfId="0" applyNumberFormat="1" applyFont="1" applyFill="1" applyBorder="1" applyAlignment="1">
      <alignment horizontal="center"/>
    </xf>
    <xf numFmtId="20" fontId="3" fillId="0" borderId="3" xfId="0" applyNumberFormat="1" applyFont="1" applyBorder="1" applyAlignment="1">
      <alignment horizontal="center"/>
    </xf>
    <xf numFmtId="20" fontId="1" fillId="0" borderId="3" xfId="0" applyNumberFormat="1" applyFont="1" applyBorder="1"/>
    <xf numFmtId="20" fontId="1" fillId="2" borderId="3" xfId="0" applyNumberFormat="1" applyFont="1" applyFill="1" applyBorder="1"/>
    <xf numFmtId="20" fontId="0" fillId="0" borderId="0" xfId="0" applyNumberFormat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20" fontId="1" fillId="0" borderId="6" xfId="0" applyNumberFormat="1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20" fontId="1" fillId="0" borderId="6" xfId="0" applyNumberFormat="1" applyFont="1" applyBorder="1" applyAlignment="1">
      <alignment horizontal="right"/>
    </xf>
    <xf numFmtId="20" fontId="1" fillId="2" borderId="6" xfId="0" applyNumberFormat="1" applyFont="1" applyFill="1" applyBorder="1"/>
    <xf numFmtId="0" fontId="2" fillId="0" borderId="2" xfId="0" applyFont="1" applyBorder="1" applyAlignment="1">
      <alignment horizontal="left"/>
    </xf>
    <xf numFmtId="20" fontId="3" fillId="2" borderId="9" xfId="0" applyNumberFormat="1" applyFont="1" applyFill="1" applyBorder="1" applyAlignment="1">
      <alignment horizontal="center"/>
    </xf>
    <xf numFmtId="20" fontId="3" fillId="2" borderId="7" xfId="0" applyNumberFormat="1" applyFont="1" applyFill="1" applyBorder="1" applyAlignment="1">
      <alignment horizontal="center"/>
    </xf>
    <xf numFmtId="20" fontId="1" fillId="2" borderId="7" xfId="0" applyNumberFormat="1" applyFont="1" applyFill="1" applyBorder="1"/>
    <xf numFmtId="20" fontId="1" fillId="2" borderId="8" xfId="0" applyNumberFormat="1" applyFont="1" applyFill="1" applyBorder="1"/>
    <xf numFmtId="0" fontId="2" fillId="0" borderId="4" xfId="0" applyNumberFormat="1" applyFont="1" applyBorder="1" applyAlignment="1">
      <alignment horizontal="left"/>
    </xf>
    <xf numFmtId="20" fontId="1" fillId="2" borderId="9" xfId="0" applyNumberFormat="1" applyFont="1" applyFill="1" applyBorder="1"/>
    <xf numFmtId="22" fontId="0" fillId="0" borderId="0" xfId="0" applyNumberFormat="1"/>
    <xf numFmtId="46" fontId="0" fillId="0" borderId="0" xfId="0" applyNumberFormat="1"/>
    <xf numFmtId="20" fontId="3" fillId="0" borderId="1" xfId="0" applyNumberFormat="1" applyFont="1" applyBorder="1" applyAlignment="1">
      <alignment horizontal="center"/>
    </xf>
    <xf numFmtId="49" fontId="1" fillId="2" borderId="3" xfId="0" applyNumberFormat="1" applyFont="1" applyFill="1" applyBorder="1"/>
    <xf numFmtId="0" fontId="2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20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20" fontId="1" fillId="0" borderId="0" xfId="0" applyNumberFormat="1" applyFont="1" applyBorder="1" applyAlignment="1">
      <alignment horizontal="right"/>
    </xf>
    <xf numFmtId="46" fontId="1" fillId="2" borderId="1" xfId="0" applyNumberFormat="1" applyFont="1" applyFill="1" applyBorder="1" applyAlignment="1">
      <alignment horizontal="right"/>
    </xf>
    <xf numFmtId="20" fontId="3" fillId="3" borderId="1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3" fillId="2" borderId="10" xfId="0" applyFont="1" applyFill="1" applyBorder="1"/>
    <xf numFmtId="20" fontId="1" fillId="2" borderId="3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1" fillId="2" borderId="6" xfId="0" applyNumberFormat="1" applyFont="1" applyFill="1" applyBorder="1" applyAlignment="1">
      <alignment horizontal="center"/>
    </xf>
    <xf numFmtId="0" fontId="1" fillId="0" borderId="10" xfId="0" applyFont="1" applyBorder="1"/>
    <xf numFmtId="20" fontId="1" fillId="3" borderId="3" xfId="0" applyNumberFormat="1" applyFont="1" applyFill="1" applyBorder="1" applyAlignment="1">
      <alignment horizontal="center"/>
    </xf>
    <xf numFmtId="20" fontId="1" fillId="3" borderId="1" xfId="0" applyNumberFormat="1" applyFont="1" applyFill="1" applyBorder="1" applyAlignment="1">
      <alignment horizontal="center"/>
    </xf>
    <xf numFmtId="0" fontId="3" fillId="2" borderId="12" xfId="0" applyFont="1" applyFill="1" applyBorder="1"/>
    <xf numFmtId="20" fontId="3" fillId="2" borderId="8" xfId="0" applyNumberFormat="1" applyFont="1" applyFill="1" applyBorder="1" applyAlignment="1">
      <alignment horizontal="center"/>
    </xf>
    <xf numFmtId="20" fontId="3" fillId="2" borderId="6" xfId="0" applyNumberFormat="1" applyFont="1" applyFill="1" applyBorder="1" applyAlignment="1">
      <alignment horizontal="center"/>
    </xf>
    <xf numFmtId="20" fontId="3" fillId="0" borderId="6" xfId="0" applyNumberFormat="1" applyFont="1" applyBorder="1" applyAlignment="1">
      <alignment horizontal="center"/>
    </xf>
    <xf numFmtId="20" fontId="3" fillId="3" borderId="3" xfId="0" applyNumberFormat="1" applyFont="1" applyFill="1" applyBorder="1" applyAlignment="1">
      <alignment horizontal="center"/>
    </xf>
    <xf numFmtId="20" fontId="3" fillId="3" borderId="6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46" fontId="1" fillId="2" borderId="1" xfId="0" applyNumberFormat="1" applyFont="1" applyFill="1" applyBorder="1"/>
    <xf numFmtId="0" fontId="1" fillId="2" borderId="1" xfId="0" applyFont="1" applyFill="1" applyBorder="1"/>
    <xf numFmtId="49" fontId="3" fillId="2" borderId="9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3" xfId="0" applyFont="1" applyBorder="1"/>
    <xf numFmtId="0" fontId="2" fillId="0" borderId="6" xfId="0" applyFont="1" applyBorder="1"/>
    <xf numFmtId="20" fontId="1" fillId="0" borderId="6" xfId="0" applyNumberFormat="1" applyFont="1" applyBorder="1"/>
    <xf numFmtId="0" fontId="2" fillId="0" borderId="2" xfId="0" applyNumberFormat="1" applyFont="1" applyBorder="1" applyAlignment="1">
      <alignment horizontal="left"/>
    </xf>
    <xf numFmtId="0" fontId="2" fillId="0" borderId="5" xfId="0" applyNumberFormat="1" applyFont="1" applyBorder="1" applyAlignment="1">
      <alignment horizontal="left"/>
    </xf>
    <xf numFmtId="46" fontId="1" fillId="2" borderId="7" xfId="0" applyNumberFormat="1" applyFont="1" applyFill="1" applyBorder="1"/>
    <xf numFmtId="46" fontId="1" fillId="2" borderId="8" xfId="0" applyNumberFormat="1" applyFont="1" applyFill="1" applyBorder="1"/>
    <xf numFmtId="46" fontId="1" fillId="2" borderId="3" xfId="0" applyNumberFormat="1" applyFont="1" applyFill="1" applyBorder="1" applyAlignment="1">
      <alignment horizontal="right"/>
    </xf>
    <xf numFmtId="46" fontId="1" fillId="2" borderId="6" xfId="0" applyNumberFormat="1" applyFont="1" applyFill="1" applyBorder="1" applyAlignment="1">
      <alignment horizontal="right"/>
    </xf>
    <xf numFmtId="46" fontId="1" fillId="2" borderId="9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20" fontId="5" fillId="0" borderId="0" xfId="0" applyNumberFormat="1" applyFont="1"/>
    <xf numFmtId="22" fontId="5" fillId="0" borderId="0" xfId="0" applyNumberFormat="1" applyFont="1"/>
    <xf numFmtId="46" fontId="5" fillId="0" borderId="0" xfId="0" applyNumberFormat="1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49" fontId="1" fillId="3" borderId="1" xfId="0" applyNumberFormat="1" applyFont="1" applyFill="1" applyBorder="1" applyAlignment="1">
      <alignment horizontal="center"/>
    </xf>
    <xf numFmtId="46" fontId="1" fillId="2" borderId="1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20" fontId="1" fillId="2" borderId="7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20" fontId="1" fillId="3" borderId="6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right"/>
    </xf>
    <xf numFmtId="0" fontId="3" fillId="2" borderId="18" xfId="0" applyFont="1" applyFill="1" applyBorder="1"/>
    <xf numFmtId="0" fontId="1" fillId="0" borderId="18" xfId="0" applyFont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20" fontId="1" fillId="0" borderId="2" xfId="0" applyNumberFormat="1" applyFont="1" applyBorder="1" applyAlignment="1">
      <alignment horizontal="left"/>
    </xf>
    <xf numFmtId="20" fontId="1" fillId="0" borderId="4" xfId="0" applyNumberFormat="1" applyFont="1" applyBorder="1" applyAlignment="1">
      <alignment horizontal="left"/>
    </xf>
    <xf numFmtId="20" fontId="1" fillId="0" borderId="5" xfId="0" applyNumberFormat="1" applyFont="1" applyBorder="1" applyAlignment="1">
      <alignment horizontal="left"/>
    </xf>
    <xf numFmtId="46" fontId="1" fillId="2" borderId="3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20" fontId="1" fillId="2" borderId="9" xfId="0" applyNumberFormat="1" applyFont="1" applyFill="1" applyBorder="1" applyAlignment="1">
      <alignment horizontal="center"/>
    </xf>
    <xf numFmtId="0" fontId="1" fillId="2" borderId="7" xfId="0" applyFont="1" applyFill="1" applyBorder="1"/>
    <xf numFmtId="20" fontId="1" fillId="2" borderId="8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5BF-31C5-4A7C-8ED0-43AFCF12B00A}">
  <dimension ref="A1:AE119"/>
  <sheetViews>
    <sheetView tabSelected="1" zoomScale="55" zoomScaleNormal="55" workbookViewId="0">
      <pane xSplit="1" ySplit="9" topLeftCell="B46" activePane="bottomRight" state="frozen"/>
      <selection pane="topRight" activeCell="C1" sqref="C1"/>
      <selection pane="bottomLeft" activeCell="A6" sqref="A6"/>
      <selection pane="bottomRight" activeCell="X110" sqref="X110"/>
    </sheetView>
  </sheetViews>
  <sheetFormatPr defaultRowHeight="15" x14ac:dyDescent="0.25"/>
  <cols>
    <col min="1" max="1" width="53.28515625" style="42" customWidth="1"/>
    <col min="2" max="4" width="13.7109375" style="42" customWidth="1"/>
    <col min="5" max="5" width="13" style="42" bestFit="1" customWidth="1"/>
    <col min="6" max="29" width="13.7109375" style="42" customWidth="1"/>
    <col min="30" max="16384" width="9.140625" style="42"/>
  </cols>
  <sheetData>
    <row r="1" spans="1:29" ht="20.25" x14ac:dyDescent="0.3">
      <c r="A1" s="127" t="s">
        <v>59</v>
      </c>
      <c r="B1" s="127"/>
      <c r="C1" s="127"/>
      <c r="D1" s="127"/>
      <c r="E1" s="127"/>
      <c r="F1" s="127"/>
      <c r="J1" s="128"/>
      <c r="K1" s="128"/>
      <c r="L1" s="128"/>
      <c r="M1" s="128"/>
      <c r="N1" s="128"/>
      <c r="O1" s="128"/>
      <c r="P1" s="128"/>
      <c r="Q1" s="128"/>
      <c r="R1" s="128"/>
      <c r="S1" s="43"/>
      <c r="U1" s="128" t="s">
        <v>53</v>
      </c>
      <c r="V1" s="128"/>
      <c r="W1" s="128"/>
      <c r="X1" s="128"/>
      <c r="Y1" s="128"/>
      <c r="Z1" s="128"/>
      <c r="AA1" s="128"/>
      <c r="AB1" s="128"/>
      <c r="AC1" s="128"/>
    </row>
    <row r="2" spans="1:29" ht="20.25" x14ac:dyDescent="0.3">
      <c r="A2" s="127" t="s">
        <v>60</v>
      </c>
      <c r="B2" s="127"/>
      <c r="C2" s="127"/>
      <c r="D2" s="127"/>
      <c r="E2" s="127"/>
      <c r="F2" s="127"/>
      <c r="J2" s="128"/>
      <c r="K2" s="128"/>
      <c r="L2" s="128"/>
      <c r="M2" s="128"/>
      <c r="N2" s="128"/>
      <c r="O2" s="128"/>
      <c r="P2" s="128"/>
      <c r="Q2" s="128"/>
      <c r="R2" s="128"/>
      <c r="S2" s="43"/>
      <c r="U2" s="128" t="s">
        <v>62</v>
      </c>
      <c r="V2" s="128"/>
      <c r="W2" s="128"/>
      <c r="X2" s="128"/>
      <c r="Y2" s="128"/>
      <c r="Z2" s="128"/>
      <c r="AA2" s="128"/>
      <c r="AB2" s="128"/>
      <c r="AC2" s="128"/>
    </row>
    <row r="3" spans="1:29" ht="20.25" x14ac:dyDescent="0.3">
      <c r="A3" s="127" t="s">
        <v>69</v>
      </c>
      <c r="B3" s="127"/>
      <c r="C3" s="127"/>
      <c r="D3" s="127"/>
      <c r="E3" s="127"/>
      <c r="F3" s="127"/>
      <c r="J3" s="128"/>
      <c r="K3" s="128"/>
      <c r="L3" s="128"/>
      <c r="M3" s="128"/>
      <c r="N3" s="128"/>
      <c r="O3" s="128"/>
      <c r="P3" s="128"/>
      <c r="Q3" s="128"/>
      <c r="R3" s="128"/>
      <c r="S3" s="43"/>
      <c r="U3" s="128" t="s">
        <v>69</v>
      </c>
      <c r="V3" s="128"/>
      <c r="W3" s="128"/>
      <c r="X3" s="128"/>
      <c r="Y3" s="128"/>
      <c r="Z3" s="128"/>
      <c r="AA3" s="128"/>
      <c r="AB3" s="128"/>
      <c r="AC3" s="128"/>
    </row>
    <row r="5" spans="1:29" ht="25.5" x14ac:dyDescent="0.35">
      <c r="A5" s="126" t="s">
        <v>68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</row>
    <row r="6" spans="1:29" ht="26.25" thickBot="1" x14ac:dyDescent="0.4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44"/>
    </row>
    <row r="7" spans="1:29" s="45" customFormat="1" ht="20.25" x14ac:dyDescent="0.3">
      <c r="A7" s="132" t="s">
        <v>0</v>
      </c>
      <c r="B7" s="130" t="s">
        <v>70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 t="s">
        <v>65</v>
      </c>
      <c r="U7" s="131"/>
      <c r="V7" s="131"/>
      <c r="W7" s="131"/>
      <c r="X7" s="131"/>
      <c r="Y7" s="131"/>
      <c r="Z7" s="131"/>
      <c r="AA7" s="131"/>
      <c r="AB7" s="131"/>
      <c r="AC7" s="134"/>
    </row>
    <row r="8" spans="1:29" s="45" customFormat="1" ht="20.25" x14ac:dyDescent="0.25">
      <c r="A8" s="133"/>
      <c r="B8" s="113">
        <v>14</v>
      </c>
      <c r="C8" s="114">
        <v>15</v>
      </c>
      <c r="D8" s="114">
        <v>16</v>
      </c>
      <c r="E8" s="114">
        <v>17</v>
      </c>
      <c r="F8" s="114">
        <v>18</v>
      </c>
      <c r="G8" s="114">
        <v>19</v>
      </c>
      <c r="H8" s="114">
        <v>20</v>
      </c>
      <c r="I8" s="114">
        <v>21</v>
      </c>
      <c r="J8" s="114">
        <v>22</v>
      </c>
      <c r="K8" s="114">
        <v>23</v>
      </c>
      <c r="L8" s="114">
        <v>24</v>
      </c>
      <c r="M8" s="114">
        <v>25</v>
      </c>
      <c r="N8" s="114">
        <v>26</v>
      </c>
      <c r="O8" s="114">
        <v>27</v>
      </c>
      <c r="P8" s="114">
        <v>28</v>
      </c>
      <c r="Q8" s="114">
        <v>29</v>
      </c>
      <c r="R8" s="114">
        <v>30</v>
      </c>
      <c r="S8" s="114">
        <v>31</v>
      </c>
      <c r="T8" s="114">
        <v>1</v>
      </c>
      <c r="U8" s="114">
        <v>2</v>
      </c>
      <c r="V8" s="114">
        <v>3</v>
      </c>
      <c r="W8" s="114">
        <v>4</v>
      </c>
      <c r="X8" s="114">
        <v>5</v>
      </c>
      <c r="Y8" s="114">
        <v>6</v>
      </c>
      <c r="Z8" s="114">
        <v>7</v>
      </c>
      <c r="AA8" s="114">
        <v>8</v>
      </c>
      <c r="AB8" s="114">
        <v>9</v>
      </c>
      <c r="AC8" s="115">
        <v>10</v>
      </c>
    </row>
    <row r="9" spans="1:29" s="45" customFormat="1" ht="21" thickBot="1" x14ac:dyDescent="0.35">
      <c r="A9" s="133"/>
      <c r="B9" s="116" t="s">
        <v>6</v>
      </c>
      <c r="C9" s="117" t="s">
        <v>1</v>
      </c>
      <c r="D9" s="117" t="s">
        <v>9</v>
      </c>
      <c r="E9" s="117" t="s">
        <v>2</v>
      </c>
      <c r="F9" s="117" t="s">
        <v>3</v>
      </c>
      <c r="G9" s="117" t="s">
        <v>4</v>
      </c>
      <c r="H9" s="117" t="s">
        <v>5</v>
      </c>
      <c r="I9" s="117" t="s">
        <v>6</v>
      </c>
      <c r="J9" s="117" t="s">
        <v>1</v>
      </c>
      <c r="K9" s="117" t="s">
        <v>9</v>
      </c>
      <c r="L9" s="117" t="s">
        <v>2</v>
      </c>
      <c r="M9" s="117" t="s">
        <v>3</v>
      </c>
      <c r="N9" s="117" t="s">
        <v>4</v>
      </c>
      <c r="O9" s="117" t="s">
        <v>5</v>
      </c>
      <c r="P9" s="117" t="s">
        <v>6</v>
      </c>
      <c r="Q9" s="117" t="s">
        <v>1</v>
      </c>
      <c r="R9" s="117" t="s">
        <v>9</v>
      </c>
      <c r="S9" s="117" t="s">
        <v>2</v>
      </c>
      <c r="T9" s="117" t="s">
        <v>3</v>
      </c>
      <c r="U9" s="117" t="s">
        <v>4</v>
      </c>
      <c r="V9" s="117" t="s">
        <v>5</v>
      </c>
      <c r="W9" s="117" t="s">
        <v>6</v>
      </c>
      <c r="X9" s="117" t="s">
        <v>1</v>
      </c>
      <c r="Y9" s="117" t="s">
        <v>9</v>
      </c>
      <c r="Z9" s="117" t="s">
        <v>2</v>
      </c>
      <c r="AA9" s="117" t="s">
        <v>3</v>
      </c>
      <c r="AB9" s="117" t="s">
        <v>4</v>
      </c>
      <c r="AC9" s="118" t="s">
        <v>5</v>
      </c>
    </row>
    <row r="10" spans="1:29" s="46" customFormat="1" ht="15.75" x14ac:dyDescent="0.25">
      <c r="A10" s="41" t="s">
        <v>7</v>
      </c>
      <c r="B10" s="23">
        <v>32</v>
      </c>
      <c r="C10" s="17">
        <v>32</v>
      </c>
      <c r="D10" s="17">
        <v>32</v>
      </c>
      <c r="E10" s="17">
        <v>32</v>
      </c>
      <c r="F10" s="17">
        <v>32</v>
      </c>
      <c r="G10" s="17">
        <v>32</v>
      </c>
      <c r="H10" s="17">
        <v>32</v>
      </c>
      <c r="I10" s="17">
        <v>32</v>
      </c>
      <c r="J10" s="17">
        <v>32</v>
      </c>
      <c r="K10" s="17">
        <v>32</v>
      </c>
      <c r="L10" s="17">
        <v>32</v>
      </c>
      <c r="M10" s="17">
        <v>32</v>
      </c>
      <c r="N10" s="17">
        <v>32</v>
      </c>
      <c r="O10" s="17">
        <v>32</v>
      </c>
      <c r="P10" s="17">
        <v>32</v>
      </c>
      <c r="Q10" s="17">
        <v>32</v>
      </c>
      <c r="R10" s="17">
        <v>32</v>
      </c>
      <c r="S10" s="17">
        <v>32</v>
      </c>
      <c r="T10" s="17">
        <v>32</v>
      </c>
      <c r="U10" s="17">
        <v>32</v>
      </c>
      <c r="V10" s="17">
        <v>32</v>
      </c>
      <c r="W10" s="17">
        <v>32</v>
      </c>
      <c r="X10" s="17">
        <v>32</v>
      </c>
      <c r="Y10" s="17">
        <v>32</v>
      </c>
      <c r="Z10" s="17">
        <v>32</v>
      </c>
      <c r="AA10" s="17">
        <v>32</v>
      </c>
      <c r="AB10" s="17">
        <v>32</v>
      </c>
      <c r="AC10" s="18">
        <v>32</v>
      </c>
    </row>
    <row r="11" spans="1:29" s="46" customFormat="1" ht="15.75" x14ac:dyDescent="0.25">
      <c r="A11" s="47" t="s">
        <v>16</v>
      </c>
      <c r="B11" s="9">
        <v>0.99930555555555556</v>
      </c>
      <c r="C11" s="3">
        <v>0.99930555555555556</v>
      </c>
      <c r="D11" s="3">
        <v>0.99930555555555556</v>
      </c>
      <c r="E11" s="3">
        <v>0.99930555555555556</v>
      </c>
      <c r="F11" s="3">
        <v>0.99930555555555556</v>
      </c>
      <c r="G11" s="3">
        <v>0.99930555555555556</v>
      </c>
      <c r="H11" s="3">
        <v>0.99930555555555556</v>
      </c>
      <c r="I11" s="3">
        <v>0.99930555555555556</v>
      </c>
      <c r="J11" s="3">
        <v>0.99930555555555556</v>
      </c>
      <c r="K11" s="3">
        <v>0.99930555555555556</v>
      </c>
      <c r="L11" s="3">
        <v>0.99930555555555556</v>
      </c>
      <c r="M11" s="3">
        <v>0.99930555555555556</v>
      </c>
      <c r="N11" s="3">
        <v>0.99930555555555556</v>
      </c>
      <c r="O11" s="3">
        <v>0.99930555555555556</v>
      </c>
      <c r="P11" s="3">
        <v>0.99930555555555556</v>
      </c>
      <c r="Q11" s="3">
        <v>0.99930555555555556</v>
      </c>
      <c r="R11" s="3">
        <v>0.99930555555555556</v>
      </c>
      <c r="S11" s="3">
        <v>0.99930555555555556</v>
      </c>
      <c r="T11" s="3">
        <v>0.99930555555555556</v>
      </c>
      <c r="U11" s="3">
        <v>0.99930555555555556</v>
      </c>
      <c r="V11" s="3">
        <v>0.99930555555555556</v>
      </c>
      <c r="W11" s="3">
        <v>0.99930555555555556</v>
      </c>
      <c r="X11" s="3">
        <v>0.99930555555555556</v>
      </c>
      <c r="Y11" s="3">
        <v>0.99930555555555556</v>
      </c>
      <c r="Z11" s="3">
        <v>0.99930555555555556</v>
      </c>
      <c r="AA11" s="3">
        <v>0.99930555555555556</v>
      </c>
      <c r="AB11" s="3">
        <v>0.99930555555555556</v>
      </c>
      <c r="AC11" s="19">
        <v>0.99930555555555556</v>
      </c>
    </row>
    <row r="12" spans="1:29" s="46" customFormat="1" ht="15.75" x14ac:dyDescent="0.25">
      <c r="A12" s="47" t="s">
        <v>13</v>
      </c>
      <c r="B12" s="9"/>
      <c r="C12" s="3">
        <v>0.20138888888888887</v>
      </c>
      <c r="D12" s="3">
        <v>0.20138888888888887</v>
      </c>
      <c r="E12" s="3">
        <v>0.20138888888888887</v>
      </c>
      <c r="F12" s="3">
        <v>0.20138888888888887</v>
      </c>
      <c r="G12" s="3">
        <v>0.20138888888888887</v>
      </c>
      <c r="H12" s="3">
        <v>0.20138888888888887</v>
      </c>
      <c r="I12" s="3">
        <v>0.20138888888888887</v>
      </c>
      <c r="J12" s="3">
        <v>0.20138888888888887</v>
      </c>
      <c r="K12" s="3">
        <v>0.20138888888888887</v>
      </c>
      <c r="L12" s="3">
        <v>0.20138888888888887</v>
      </c>
      <c r="M12" s="3">
        <v>0.20138888888888887</v>
      </c>
      <c r="N12" s="3">
        <v>0.20138888888888887</v>
      </c>
      <c r="O12" s="3">
        <v>0.20138888888888887</v>
      </c>
      <c r="P12" s="3">
        <v>0.20138888888888887</v>
      </c>
      <c r="Q12" s="3">
        <v>0.20138888888888887</v>
      </c>
      <c r="R12" s="3">
        <v>0.20138888888888887</v>
      </c>
      <c r="S12" s="3">
        <v>0.20138888888888887</v>
      </c>
      <c r="T12" s="3">
        <v>0.20138888888888887</v>
      </c>
      <c r="U12" s="3">
        <v>0.20138888888888887</v>
      </c>
      <c r="V12" s="3">
        <v>0.20138888888888887</v>
      </c>
      <c r="W12" s="3">
        <v>0.20138888888888887</v>
      </c>
      <c r="X12" s="3">
        <v>0.20138888888888887</v>
      </c>
      <c r="Y12" s="3">
        <v>0.20138888888888887</v>
      </c>
      <c r="Z12" s="3">
        <v>0.20138888888888887</v>
      </c>
      <c r="AA12" s="3">
        <v>0.20138888888888887</v>
      </c>
      <c r="AB12" s="3">
        <v>0.20138888888888887</v>
      </c>
      <c r="AC12" s="19">
        <v>0.20138888888888887</v>
      </c>
    </row>
    <row r="13" spans="1:29" s="49" customFormat="1" ht="15.75" x14ac:dyDescent="0.25">
      <c r="A13" s="48" t="s">
        <v>8</v>
      </c>
      <c r="B13" s="11">
        <v>31</v>
      </c>
      <c r="C13" s="4">
        <v>31</v>
      </c>
      <c r="D13" s="4">
        <v>31</v>
      </c>
      <c r="E13" s="4">
        <v>31</v>
      </c>
      <c r="F13" s="4">
        <v>31</v>
      </c>
      <c r="G13" s="4">
        <v>31</v>
      </c>
      <c r="H13" s="4">
        <v>31</v>
      </c>
      <c r="I13" s="4">
        <v>31</v>
      </c>
      <c r="J13" s="4">
        <v>31</v>
      </c>
      <c r="K13" s="4">
        <v>31</v>
      </c>
      <c r="L13" s="4">
        <v>31</v>
      </c>
      <c r="M13" s="4">
        <v>31</v>
      </c>
      <c r="N13" s="4">
        <v>31</v>
      </c>
      <c r="O13" s="4">
        <v>31</v>
      </c>
      <c r="P13" s="4">
        <v>31</v>
      </c>
      <c r="Q13" s="4">
        <v>31</v>
      </c>
      <c r="R13" s="4">
        <v>31</v>
      </c>
      <c r="S13" s="4">
        <v>31</v>
      </c>
      <c r="T13" s="4">
        <v>31</v>
      </c>
      <c r="U13" s="4">
        <v>31</v>
      </c>
      <c r="V13" s="4">
        <v>31</v>
      </c>
      <c r="W13" s="4">
        <v>31</v>
      </c>
      <c r="X13" s="4">
        <v>31</v>
      </c>
      <c r="Y13" s="4">
        <v>31</v>
      </c>
      <c r="Z13" s="4">
        <v>31</v>
      </c>
      <c r="AA13" s="4">
        <v>31</v>
      </c>
      <c r="AB13" s="4">
        <v>31</v>
      </c>
      <c r="AC13" s="20">
        <v>31</v>
      </c>
    </row>
    <row r="14" spans="1:29" s="49" customFormat="1" ht="15.75" x14ac:dyDescent="0.25">
      <c r="A14" s="48" t="s">
        <v>37</v>
      </c>
      <c r="B14" s="10">
        <v>0.67499999999999993</v>
      </c>
      <c r="C14" s="1">
        <v>0.67499999999999993</v>
      </c>
      <c r="D14" s="1">
        <v>0.67499999999999993</v>
      </c>
      <c r="E14" s="1">
        <v>0.67499999999999993</v>
      </c>
      <c r="F14" s="1">
        <v>0.67499999999999993</v>
      </c>
      <c r="G14" s="1">
        <v>0.67499999999999993</v>
      </c>
      <c r="H14" s="1">
        <v>0.67499999999999993</v>
      </c>
      <c r="I14" s="1">
        <v>0.67499999999999993</v>
      </c>
      <c r="J14" s="1">
        <v>0.67499999999999993</v>
      </c>
      <c r="K14" s="1">
        <v>0.67499999999999993</v>
      </c>
      <c r="L14" s="1">
        <v>0.67499999999999993</v>
      </c>
      <c r="M14" s="1">
        <v>0.67499999999999993</v>
      </c>
      <c r="N14" s="1">
        <v>0.67499999999999993</v>
      </c>
      <c r="O14" s="1">
        <v>0.67499999999999993</v>
      </c>
      <c r="P14" s="1">
        <v>0.67499999999999993</v>
      </c>
      <c r="Q14" s="1">
        <v>0.67499999999999993</v>
      </c>
      <c r="R14" s="1">
        <v>0.67499999999999993</v>
      </c>
      <c r="S14" s="1">
        <v>0.67499999999999993</v>
      </c>
      <c r="T14" s="1">
        <v>0.67499999999999993</v>
      </c>
      <c r="U14" s="1">
        <v>0.67499999999999993</v>
      </c>
      <c r="V14" s="1">
        <v>0.67499999999999993</v>
      </c>
      <c r="W14" s="1">
        <v>0.67499999999999993</v>
      </c>
      <c r="X14" s="1">
        <v>0.67499999999999993</v>
      </c>
      <c r="Y14" s="1">
        <v>0.67499999999999993</v>
      </c>
      <c r="Z14" s="1">
        <v>0.67499999999999993</v>
      </c>
      <c r="AA14" s="1">
        <v>0.67499999999999993</v>
      </c>
      <c r="AB14" s="1">
        <v>0.67499999999999993</v>
      </c>
      <c r="AC14" s="21">
        <v>0.67499999999999993</v>
      </c>
    </row>
    <row r="15" spans="1:29" s="45" customFormat="1" ht="15.75" x14ac:dyDescent="0.25">
      <c r="A15" s="50" t="s">
        <v>14</v>
      </c>
      <c r="B15" s="51"/>
      <c r="C15" s="52"/>
      <c r="D15" s="52"/>
      <c r="E15" s="52">
        <v>0.62361111111111112</v>
      </c>
      <c r="F15" s="52">
        <v>0.62361111111111112</v>
      </c>
      <c r="G15" s="52">
        <f t="shared" ref="G15:S15" si="0">(G14-F12)+24</f>
        <v>24.473611111111111</v>
      </c>
      <c r="H15" s="52">
        <f t="shared" si="0"/>
        <v>24.473611111111111</v>
      </c>
      <c r="I15" s="52">
        <f t="shared" si="0"/>
        <v>24.473611111111111</v>
      </c>
      <c r="J15" s="52">
        <f t="shared" si="0"/>
        <v>24.473611111111111</v>
      </c>
      <c r="K15" s="52">
        <f t="shared" si="0"/>
        <v>24.473611111111111</v>
      </c>
      <c r="L15" s="52">
        <f t="shared" si="0"/>
        <v>24.473611111111111</v>
      </c>
      <c r="M15" s="52">
        <f t="shared" si="0"/>
        <v>24.473611111111111</v>
      </c>
      <c r="N15" s="52">
        <f t="shared" si="0"/>
        <v>24.473611111111111</v>
      </c>
      <c r="O15" s="52">
        <f t="shared" si="0"/>
        <v>24.473611111111111</v>
      </c>
      <c r="P15" s="52">
        <f t="shared" si="0"/>
        <v>24.473611111111111</v>
      </c>
      <c r="Q15" s="52">
        <f t="shared" si="0"/>
        <v>24.473611111111111</v>
      </c>
      <c r="R15" s="52">
        <f t="shared" si="0"/>
        <v>24.473611111111111</v>
      </c>
      <c r="S15" s="52">
        <f t="shared" si="0"/>
        <v>24.473611111111111</v>
      </c>
      <c r="T15" s="52">
        <v>0.2076388888888889</v>
      </c>
      <c r="U15" s="52">
        <f>U14-T12+24</f>
        <v>24.473611111111111</v>
      </c>
      <c r="V15" s="52">
        <f>(V14-U12)+24</f>
        <v>24.473611111111111</v>
      </c>
      <c r="W15" s="52">
        <f t="shared" ref="W15" si="1">(W14-V12)+24</f>
        <v>24.473611111111111</v>
      </c>
      <c r="X15" s="52">
        <f t="shared" ref="X15" si="2">(X14-W12)+24</f>
        <v>24.473611111111111</v>
      </c>
      <c r="Y15" s="52">
        <f t="shared" ref="Y15" si="3">(Y14-X12)+24</f>
        <v>24.473611111111111</v>
      </c>
      <c r="Z15" s="52">
        <f t="shared" ref="Z15" si="4">(Z14-Y12)+24</f>
        <v>24.473611111111111</v>
      </c>
      <c r="AA15" s="52">
        <f t="shared" ref="AA15" si="5">(AA14-Z12)+24</f>
        <v>24.473611111111111</v>
      </c>
      <c r="AB15" s="52">
        <f t="shared" ref="AB15" si="6">(AB14-AA12)+24</f>
        <v>24.473611111111111</v>
      </c>
      <c r="AC15" s="53">
        <f t="shared" ref="AC15" si="7">(AC14-AB12)+24</f>
        <v>24.473611111111111</v>
      </c>
    </row>
    <row r="16" spans="1:29" s="45" customFormat="1" ht="15.75" x14ac:dyDescent="0.25">
      <c r="A16" s="54" t="s">
        <v>11</v>
      </c>
      <c r="B16" s="55">
        <v>0.49305555555555558</v>
      </c>
      <c r="C16" s="56">
        <v>0.81111111111111101</v>
      </c>
      <c r="D16" s="56">
        <v>0.81111111111111101</v>
      </c>
      <c r="E16" s="56">
        <v>0.81111111111111101</v>
      </c>
      <c r="F16" s="56">
        <v>0.81111111111111101</v>
      </c>
      <c r="G16" s="56">
        <v>0.81111111111111101</v>
      </c>
      <c r="H16" s="56">
        <v>0.81111111111111101</v>
      </c>
      <c r="I16" s="56">
        <v>0.81111111111111101</v>
      </c>
      <c r="J16" s="56">
        <v>0.81111111111111101</v>
      </c>
      <c r="K16" s="56">
        <v>0.81111111111111101</v>
      </c>
      <c r="L16" s="56">
        <v>0.81111111111111101</v>
      </c>
      <c r="M16" s="56">
        <v>0.81111111111111101</v>
      </c>
      <c r="N16" s="56">
        <v>0.81111111111111101</v>
      </c>
      <c r="O16" s="56">
        <v>0.81111111111111101</v>
      </c>
      <c r="P16" s="56">
        <v>0.81111111111111101</v>
      </c>
      <c r="Q16" s="56">
        <v>0.81111111111111101</v>
      </c>
      <c r="R16" s="56">
        <v>0.81111111111111101</v>
      </c>
      <c r="S16" s="56">
        <v>0.81111111111111101</v>
      </c>
      <c r="T16" s="56">
        <v>0.81111111111111101</v>
      </c>
      <c r="U16" s="56">
        <v>0.81111111111111101</v>
      </c>
      <c r="V16" s="56">
        <v>0.81111111111111101</v>
      </c>
      <c r="W16" s="56">
        <v>0.81111111111111101</v>
      </c>
      <c r="X16" s="56">
        <v>0.81111111111111101</v>
      </c>
      <c r="Y16" s="56">
        <v>0.81111111111111101</v>
      </c>
      <c r="Z16" s="56">
        <v>0.81111111111111101</v>
      </c>
      <c r="AA16" s="56">
        <v>0.81111111111111101</v>
      </c>
      <c r="AB16" s="56">
        <v>0.81111111111111101</v>
      </c>
      <c r="AC16" s="95">
        <v>0.81111111111111101</v>
      </c>
    </row>
    <row r="17" spans="1:29" s="45" customFormat="1" ht="16.5" thickBot="1" x14ac:dyDescent="0.3">
      <c r="A17" s="57" t="s">
        <v>12</v>
      </c>
      <c r="B17" s="24"/>
      <c r="C17" s="25"/>
      <c r="D17" s="25"/>
      <c r="E17" s="25">
        <f t="shared" ref="E17:S17" si="8">F11-E16+24</f>
        <v>24.188194444444445</v>
      </c>
      <c r="F17" s="25">
        <f t="shared" si="8"/>
        <v>24.188194444444445</v>
      </c>
      <c r="G17" s="25">
        <f t="shared" si="8"/>
        <v>24.188194444444445</v>
      </c>
      <c r="H17" s="25">
        <f t="shared" si="8"/>
        <v>24.188194444444445</v>
      </c>
      <c r="I17" s="25">
        <f t="shared" si="8"/>
        <v>24.188194444444445</v>
      </c>
      <c r="J17" s="25">
        <f t="shared" si="8"/>
        <v>24.188194444444445</v>
      </c>
      <c r="K17" s="25">
        <f t="shared" si="8"/>
        <v>24.188194444444445</v>
      </c>
      <c r="L17" s="25">
        <f t="shared" si="8"/>
        <v>24.188194444444445</v>
      </c>
      <c r="M17" s="25">
        <f t="shared" si="8"/>
        <v>24.188194444444445</v>
      </c>
      <c r="N17" s="25">
        <f t="shared" si="8"/>
        <v>24.188194444444445</v>
      </c>
      <c r="O17" s="25">
        <f t="shared" si="8"/>
        <v>24.188194444444445</v>
      </c>
      <c r="P17" s="25">
        <f t="shared" si="8"/>
        <v>24.188194444444445</v>
      </c>
      <c r="Q17" s="25">
        <f t="shared" si="8"/>
        <v>24.188194444444445</v>
      </c>
      <c r="R17" s="25">
        <f t="shared" si="8"/>
        <v>24.188194444444445</v>
      </c>
      <c r="S17" s="25">
        <f t="shared" si="8"/>
        <v>24.188194444444445</v>
      </c>
      <c r="T17" s="25">
        <f>U11-T16+24</f>
        <v>24.188194444444445</v>
      </c>
      <c r="U17" s="25">
        <f t="shared" ref="U17" si="9">V11-U16+24</f>
        <v>24.188194444444445</v>
      </c>
      <c r="V17" s="25">
        <f t="shared" ref="V17" si="10">W11-V16+24</f>
        <v>24.188194444444445</v>
      </c>
      <c r="W17" s="25">
        <f t="shared" ref="W17" si="11">X11-W16+24</f>
        <v>24.188194444444445</v>
      </c>
      <c r="X17" s="25">
        <f t="shared" ref="X17" si="12">Y11-X16+24</f>
        <v>24.188194444444445</v>
      </c>
      <c r="Y17" s="25">
        <f t="shared" ref="Y17" si="13">Z11-Y16+24</f>
        <v>24.188194444444445</v>
      </c>
      <c r="Z17" s="25">
        <f t="shared" ref="Z17" si="14">AA11-Z16+24</f>
        <v>24.188194444444445</v>
      </c>
      <c r="AA17" s="25">
        <f t="shared" ref="AA17" si="15">AB11-AA16+24</f>
        <v>24.188194444444445</v>
      </c>
      <c r="AB17" s="25">
        <f t="shared" ref="AB17" si="16">AC11-AB16+24</f>
        <v>24.188194444444445</v>
      </c>
      <c r="AC17" s="58">
        <v>0.15</v>
      </c>
    </row>
    <row r="18" spans="1:29" s="46" customFormat="1" ht="15.75" x14ac:dyDescent="0.25">
      <c r="A18" s="41" t="s">
        <v>7</v>
      </c>
      <c r="B18" s="23">
        <v>22</v>
      </c>
      <c r="C18" s="17">
        <v>22</v>
      </c>
      <c r="D18" s="17">
        <v>22</v>
      </c>
      <c r="E18" s="17">
        <v>22</v>
      </c>
      <c r="F18" s="17">
        <v>22</v>
      </c>
      <c r="G18" s="17">
        <v>22</v>
      </c>
      <c r="H18" s="17">
        <v>22</v>
      </c>
      <c r="I18" s="17">
        <v>22</v>
      </c>
      <c r="J18" s="17">
        <v>22</v>
      </c>
      <c r="K18" s="17">
        <v>22</v>
      </c>
      <c r="L18" s="17">
        <v>22</v>
      </c>
      <c r="M18" s="17">
        <v>22</v>
      </c>
      <c r="N18" s="17">
        <v>22</v>
      </c>
      <c r="O18" s="17">
        <v>22</v>
      </c>
      <c r="P18" s="17">
        <v>22</v>
      </c>
      <c r="Q18" s="17">
        <v>22</v>
      </c>
      <c r="R18" s="17">
        <v>22</v>
      </c>
      <c r="S18" s="17">
        <v>22</v>
      </c>
      <c r="T18" s="17">
        <v>22</v>
      </c>
      <c r="U18" s="17">
        <v>22</v>
      </c>
      <c r="V18" s="17">
        <v>22</v>
      </c>
      <c r="W18" s="17">
        <v>22</v>
      </c>
      <c r="X18" s="17">
        <v>22</v>
      </c>
      <c r="Y18" s="17">
        <v>22</v>
      </c>
      <c r="Z18" s="17">
        <v>22</v>
      </c>
      <c r="AA18" s="17">
        <v>22</v>
      </c>
      <c r="AB18" s="17">
        <v>22</v>
      </c>
      <c r="AC18" s="18">
        <v>22</v>
      </c>
    </row>
    <row r="19" spans="1:29" s="46" customFormat="1" ht="15.75" x14ac:dyDescent="0.25">
      <c r="A19" s="47" t="s">
        <v>15</v>
      </c>
      <c r="B19" s="9">
        <v>0.50347222222222221</v>
      </c>
      <c r="C19" s="3">
        <v>0.50694444444444442</v>
      </c>
      <c r="D19" s="3">
        <v>0.50694444444444442</v>
      </c>
      <c r="E19" s="3">
        <v>0.50694444444444442</v>
      </c>
      <c r="F19" s="3">
        <v>0.50694444444444442</v>
      </c>
      <c r="G19" s="3">
        <v>0.50694444444444442</v>
      </c>
      <c r="H19" s="3">
        <v>0.50694444444444442</v>
      </c>
      <c r="I19" s="3">
        <v>0.50694444444444442</v>
      </c>
      <c r="J19" s="3">
        <v>0.50694444444444442</v>
      </c>
      <c r="K19" s="3">
        <v>0.50694444444444442</v>
      </c>
      <c r="L19" s="3">
        <v>0.50694444444444442</v>
      </c>
      <c r="M19" s="3">
        <v>0.50694444444444442</v>
      </c>
      <c r="N19" s="3">
        <v>0.50694444444444442</v>
      </c>
      <c r="O19" s="3">
        <v>0.50694444444444442</v>
      </c>
      <c r="P19" s="3">
        <v>0.50694444444444442</v>
      </c>
      <c r="Q19" s="3">
        <v>0.50694444444444442</v>
      </c>
      <c r="R19" s="3">
        <v>0.50694444444444442</v>
      </c>
      <c r="S19" s="3">
        <v>0.50694444444444442</v>
      </c>
      <c r="T19" s="3">
        <v>0.50694444444444442</v>
      </c>
      <c r="U19" s="3">
        <v>0.50694444444444442</v>
      </c>
      <c r="V19" s="3">
        <v>0.50694444444444442</v>
      </c>
      <c r="W19" s="3">
        <v>0.50694444444444442</v>
      </c>
      <c r="X19" s="3">
        <v>0.50694444444444442</v>
      </c>
      <c r="Y19" s="3">
        <v>0.50694444444444442</v>
      </c>
      <c r="Z19" s="3">
        <v>0.50694444444444442</v>
      </c>
      <c r="AA19" s="3">
        <v>0.50694444444444442</v>
      </c>
      <c r="AB19" s="3">
        <v>0.50694444444444442</v>
      </c>
      <c r="AC19" s="19">
        <v>0.50694444444444442</v>
      </c>
    </row>
    <row r="20" spans="1:29" s="46" customFormat="1" ht="15.75" x14ac:dyDescent="0.25">
      <c r="A20" s="47" t="s">
        <v>17</v>
      </c>
      <c r="B20" s="9">
        <v>0.36458333333333331</v>
      </c>
      <c r="C20" s="3">
        <v>0.37847222222222227</v>
      </c>
      <c r="D20" s="3">
        <v>0.37847222222222227</v>
      </c>
      <c r="E20" s="3">
        <v>0.37847222222222227</v>
      </c>
      <c r="F20" s="3">
        <v>0.37847222222222227</v>
      </c>
      <c r="G20" s="3">
        <v>0.37847222222222227</v>
      </c>
      <c r="H20" s="3">
        <v>0.37847222222222227</v>
      </c>
      <c r="I20" s="3">
        <v>0.37847222222222227</v>
      </c>
      <c r="J20" s="3">
        <v>0.37847222222222227</v>
      </c>
      <c r="K20" s="3">
        <v>0.37847222222222227</v>
      </c>
      <c r="L20" s="3">
        <v>0.37847222222222227</v>
      </c>
      <c r="M20" s="3">
        <v>0.37847222222222227</v>
      </c>
      <c r="N20" s="3">
        <v>0.37847222222222227</v>
      </c>
      <c r="O20" s="3">
        <v>0.37847222222222227</v>
      </c>
      <c r="P20" s="3">
        <v>0.37847222222222227</v>
      </c>
      <c r="Q20" s="3">
        <v>0.37847222222222227</v>
      </c>
      <c r="R20" s="3">
        <v>0.37847222222222227</v>
      </c>
      <c r="S20" s="3">
        <v>0.37847222222222227</v>
      </c>
      <c r="T20" s="3">
        <v>0.37847222222222227</v>
      </c>
      <c r="U20" s="3">
        <v>0.37847222222222227</v>
      </c>
      <c r="V20" s="3">
        <v>0.37847222222222227</v>
      </c>
      <c r="W20" s="3">
        <v>0.37847222222222227</v>
      </c>
      <c r="X20" s="3">
        <v>0.37847222222222227</v>
      </c>
      <c r="Y20" s="3">
        <v>0.37847222222222227</v>
      </c>
      <c r="Z20" s="3">
        <v>0.37847222222222227</v>
      </c>
      <c r="AA20" s="3">
        <v>0.37847222222222227</v>
      </c>
      <c r="AB20" s="3">
        <v>0.37847222222222227</v>
      </c>
      <c r="AC20" s="19">
        <v>0.37847222222222227</v>
      </c>
    </row>
    <row r="21" spans="1:29" s="49" customFormat="1" ht="15.75" x14ac:dyDescent="0.25">
      <c r="A21" s="48" t="s">
        <v>8</v>
      </c>
      <c r="B21" s="11">
        <v>21</v>
      </c>
      <c r="C21" s="4">
        <v>21</v>
      </c>
      <c r="D21" s="4">
        <v>21</v>
      </c>
      <c r="E21" s="4">
        <v>21</v>
      </c>
      <c r="F21" s="4">
        <v>21</v>
      </c>
      <c r="G21" s="4">
        <v>21</v>
      </c>
      <c r="H21" s="4">
        <v>21</v>
      </c>
      <c r="I21" s="4">
        <v>21</v>
      </c>
      <c r="J21" s="4">
        <v>21</v>
      </c>
      <c r="K21" s="4">
        <v>21</v>
      </c>
      <c r="L21" s="4">
        <v>21</v>
      </c>
      <c r="M21" s="4">
        <v>21</v>
      </c>
      <c r="N21" s="4">
        <v>21</v>
      </c>
      <c r="O21" s="4">
        <v>21</v>
      </c>
      <c r="P21" s="4">
        <v>21</v>
      </c>
      <c r="Q21" s="4">
        <v>21</v>
      </c>
      <c r="R21" s="4">
        <v>21</v>
      </c>
      <c r="S21" s="4">
        <v>21</v>
      </c>
      <c r="T21" s="4">
        <v>21</v>
      </c>
      <c r="U21" s="4">
        <v>21</v>
      </c>
      <c r="V21" s="4">
        <v>21</v>
      </c>
      <c r="W21" s="4">
        <v>21</v>
      </c>
      <c r="X21" s="4">
        <v>21</v>
      </c>
      <c r="Y21" s="4">
        <v>21</v>
      </c>
      <c r="Z21" s="4">
        <v>21</v>
      </c>
      <c r="AA21" s="4">
        <v>21</v>
      </c>
      <c r="AB21" s="4">
        <v>21</v>
      </c>
      <c r="AC21" s="20">
        <v>21</v>
      </c>
    </row>
    <row r="22" spans="1:29" s="49" customFormat="1" ht="15.75" x14ac:dyDescent="0.25">
      <c r="A22" s="48" t="s">
        <v>36</v>
      </c>
      <c r="B22" s="10">
        <v>0.4861111111111111</v>
      </c>
      <c r="C22" s="1">
        <v>0.4861111111111111</v>
      </c>
      <c r="D22" s="1">
        <v>0.4861111111111111</v>
      </c>
      <c r="E22" s="1">
        <v>0.4861111111111111</v>
      </c>
      <c r="F22" s="1">
        <v>0.4861111111111111</v>
      </c>
      <c r="G22" s="1">
        <v>0.4861111111111111</v>
      </c>
      <c r="H22" s="1">
        <v>0.4861111111111111</v>
      </c>
      <c r="I22" s="1">
        <v>0.4861111111111111</v>
      </c>
      <c r="J22" s="1">
        <v>0.4861111111111111</v>
      </c>
      <c r="K22" s="1">
        <v>0.4861111111111111</v>
      </c>
      <c r="L22" s="1">
        <v>0.4861111111111111</v>
      </c>
      <c r="M22" s="1">
        <v>0.4861111111111111</v>
      </c>
      <c r="N22" s="1">
        <v>0.4861111111111111</v>
      </c>
      <c r="O22" s="1">
        <v>0.4861111111111111</v>
      </c>
      <c r="P22" s="1">
        <v>0.4861111111111111</v>
      </c>
      <c r="Q22" s="1">
        <v>0.4861111111111111</v>
      </c>
      <c r="R22" s="1">
        <v>0.4861111111111111</v>
      </c>
      <c r="S22" s="1">
        <v>0.4861111111111111</v>
      </c>
      <c r="T22" s="1">
        <v>0.4861111111111111</v>
      </c>
      <c r="U22" s="1">
        <v>0.4861111111111111</v>
      </c>
      <c r="V22" s="1">
        <v>0.4861111111111111</v>
      </c>
      <c r="W22" s="1">
        <v>0.4861111111111111</v>
      </c>
      <c r="X22" s="1">
        <v>0.4861111111111111</v>
      </c>
      <c r="Y22" s="1">
        <v>0.4861111111111111</v>
      </c>
      <c r="Z22" s="1">
        <v>0.4861111111111111</v>
      </c>
      <c r="AA22" s="1">
        <v>0.4861111111111111</v>
      </c>
      <c r="AB22" s="1">
        <v>0.4861111111111111</v>
      </c>
      <c r="AC22" s="21">
        <v>0.4861111111111111</v>
      </c>
    </row>
    <row r="23" spans="1:29" s="45" customFormat="1" ht="15.75" x14ac:dyDescent="0.25">
      <c r="A23" s="50" t="s">
        <v>41</v>
      </c>
      <c r="B23" s="12"/>
      <c r="C23" s="7"/>
      <c r="D23" s="7">
        <f t="shared" ref="D23:R23" si="17">D22-D20</f>
        <v>0.10763888888888884</v>
      </c>
      <c r="E23" s="7">
        <f t="shared" si="17"/>
        <v>0.10763888888888884</v>
      </c>
      <c r="F23" s="7">
        <f t="shared" si="17"/>
        <v>0.10763888888888884</v>
      </c>
      <c r="G23" s="7">
        <f t="shared" si="17"/>
        <v>0.10763888888888884</v>
      </c>
      <c r="H23" s="7">
        <f t="shared" si="17"/>
        <v>0.10763888888888884</v>
      </c>
      <c r="I23" s="7">
        <f t="shared" si="17"/>
        <v>0.10763888888888884</v>
      </c>
      <c r="J23" s="7">
        <f t="shared" si="17"/>
        <v>0.10763888888888884</v>
      </c>
      <c r="K23" s="7">
        <f t="shared" si="17"/>
        <v>0.10763888888888884</v>
      </c>
      <c r="L23" s="7">
        <f t="shared" si="17"/>
        <v>0.10763888888888884</v>
      </c>
      <c r="M23" s="7">
        <f t="shared" si="17"/>
        <v>0.10763888888888884</v>
      </c>
      <c r="N23" s="7">
        <f t="shared" si="17"/>
        <v>0.10763888888888884</v>
      </c>
      <c r="O23" s="7">
        <f t="shared" si="17"/>
        <v>0.10763888888888884</v>
      </c>
      <c r="P23" s="7">
        <f t="shared" si="17"/>
        <v>0.10763888888888884</v>
      </c>
      <c r="Q23" s="7">
        <f t="shared" si="17"/>
        <v>0.10763888888888884</v>
      </c>
      <c r="R23" s="7">
        <f t="shared" si="17"/>
        <v>0.10763888888888884</v>
      </c>
      <c r="S23" s="7">
        <f t="shared" ref="S23" si="18">S22-S20</f>
        <v>0.10763888888888884</v>
      </c>
      <c r="T23" s="7">
        <f>T22-T20</f>
        <v>0.10763888888888884</v>
      </c>
      <c r="U23" s="7">
        <f t="shared" ref="U23:AC23" si="19">U22-U20</f>
        <v>0.10763888888888884</v>
      </c>
      <c r="V23" s="7">
        <f t="shared" si="19"/>
        <v>0.10763888888888884</v>
      </c>
      <c r="W23" s="7">
        <f t="shared" si="19"/>
        <v>0.10763888888888884</v>
      </c>
      <c r="X23" s="7">
        <f t="shared" si="19"/>
        <v>0.10763888888888884</v>
      </c>
      <c r="Y23" s="7">
        <f t="shared" si="19"/>
        <v>0.10763888888888884</v>
      </c>
      <c r="Z23" s="7">
        <f t="shared" si="19"/>
        <v>0.10763888888888884</v>
      </c>
      <c r="AA23" s="7">
        <f t="shared" si="19"/>
        <v>0.10763888888888884</v>
      </c>
      <c r="AB23" s="7">
        <f t="shared" si="19"/>
        <v>0.10763888888888884</v>
      </c>
      <c r="AC23" s="59">
        <f t="shared" si="19"/>
        <v>0.10763888888888884</v>
      </c>
    </row>
    <row r="24" spans="1:29" s="45" customFormat="1" ht="15.75" x14ac:dyDescent="0.25">
      <c r="A24" s="54" t="s">
        <v>18</v>
      </c>
      <c r="B24" s="13">
        <v>0.36180555555555555</v>
      </c>
      <c r="C24" s="32">
        <v>0.36180555555555555</v>
      </c>
      <c r="D24" s="32">
        <v>0.36180555555555555</v>
      </c>
      <c r="E24" s="32">
        <v>0.36180555555555555</v>
      </c>
      <c r="F24" s="32">
        <v>0.36180555555555555</v>
      </c>
      <c r="G24" s="32">
        <v>0.36180555555555555</v>
      </c>
      <c r="H24" s="32">
        <v>0.36180555555555555</v>
      </c>
      <c r="I24" s="32">
        <v>0.36180555555555555</v>
      </c>
      <c r="J24" s="32">
        <v>0.36180555555555555</v>
      </c>
      <c r="K24" s="32">
        <v>0.36180555555555555</v>
      </c>
      <c r="L24" s="32">
        <v>0.36180555555555555</v>
      </c>
      <c r="M24" s="32">
        <v>0.36180555555555555</v>
      </c>
      <c r="N24" s="32">
        <v>0.36180555555555555</v>
      </c>
      <c r="O24" s="32">
        <v>0.36180555555555555</v>
      </c>
      <c r="P24" s="32">
        <v>0.36180555555555555</v>
      </c>
      <c r="Q24" s="32">
        <v>0.36180555555555555</v>
      </c>
      <c r="R24" s="32">
        <v>0.36180555555555555</v>
      </c>
      <c r="S24" s="32">
        <v>0.36180555555555555</v>
      </c>
      <c r="T24" s="32">
        <v>0.36180555555555555</v>
      </c>
      <c r="U24" s="32">
        <v>0.36180555555555555</v>
      </c>
      <c r="V24" s="32">
        <v>0.36180555555555555</v>
      </c>
      <c r="W24" s="32">
        <v>0.36180555555555555</v>
      </c>
      <c r="X24" s="32">
        <v>0.36180555555555555</v>
      </c>
      <c r="Y24" s="32">
        <v>0.36180555555555555</v>
      </c>
      <c r="Z24" s="32">
        <v>0.36180555555555555</v>
      </c>
      <c r="AA24" s="32">
        <v>0.36180555555555555</v>
      </c>
      <c r="AB24" s="32">
        <v>0.36180555555555555</v>
      </c>
      <c r="AC24" s="60">
        <v>0.36180555555555555</v>
      </c>
    </row>
    <row r="25" spans="1:29" s="45" customFormat="1" ht="16.5" thickBot="1" x14ac:dyDescent="0.3">
      <c r="A25" s="57" t="s">
        <v>12</v>
      </c>
      <c r="B25" s="24"/>
      <c r="C25" s="25"/>
      <c r="D25" s="25">
        <f t="shared" ref="D25:I25" si="20">D19-D24</f>
        <v>0.14513888888888887</v>
      </c>
      <c r="E25" s="25">
        <f t="shared" si="20"/>
        <v>0.14513888888888887</v>
      </c>
      <c r="F25" s="25">
        <f t="shared" si="20"/>
        <v>0.14513888888888887</v>
      </c>
      <c r="G25" s="25">
        <f t="shared" si="20"/>
        <v>0.14513888888888887</v>
      </c>
      <c r="H25" s="25">
        <f t="shared" si="20"/>
        <v>0.14513888888888887</v>
      </c>
      <c r="I25" s="25">
        <f t="shared" si="20"/>
        <v>0.14513888888888887</v>
      </c>
      <c r="J25" s="25">
        <f>J19-J24</f>
        <v>0.14513888888888887</v>
      </c>
      <c r="K25" s="25">
        <f t="shared" ref="K25:P25" si="21">K19-K24</f>
        <v>0.14513888888888887</v>
      </c>
      <c r="L25" s="25">
        <f t="shared" si="21"/>
        <v>0.14513888888888887</v>
      </c>
      <c r="M25" s="25">
        <f t="shared" si="21"/>
        <v>0.14513888888888887</v>
      </c>
      <c r="N25" s="25">
        <f t="shared" si="21"/>
        <v>0.14513888888888887</v>
      </c>
      <c r="O25" s="25">
        <f t="shared" si="21"/>
        <v>0.14513888888888887</v>
      </c>
      <c r="P25" s="25">
        <f t="shared" si="21"/>
        <v>0.14513888888888887</v>
      </c>
      <c r="Q25" s="25">
        <f>Q19-Q24</f>
        <v>0.14513888888888887</v>
      </c>
      <c r="R25" s="25">
        <f>R19-R24</f>
        <v>0.14513888888888887</v>
      </c>
      <c r="S25" s="25">
        <f>S19-S24</f>
        <v>0.14513888888888887</v>
      </c>
      <c r="T25" s="25">
        <f t="shared" ref="T25:W25" si="22">T19-T24</f>
        <v>0.14513888888888887</v>
      </c>
      <c r="U25" s="25">
        <f t="shared" si="22"/>
        <v>0.14513888888888887</v>
      </c>
      <c r="V25" s="25">
        <f t="shared" si="22"/>
        <v>0.14513888888888887</v>
      </c>
      <c r="W25" s="25">
        <f t="shared" si="22"/>
        <v>0.14513888888888887</v>
      </c>
      <c r="X25" s="25">
        <f>X19-X24</f>
        <v>0.14513888888888887</v>
      </c>
      <c r="Y25" s="25">
        <f t="shared" ref="Y25:AC25" si="23">Y19-Y24</f>
        <v>0.14513888888888887</v>
      </c>
      <c r="Z25" s="25">
        <f t="shared" si="23"/>
        <v>0.14513888888888887</v>
      </c>
      <c r="AA25" s="25">
        <f t="shared" si="23"/>
        <v>0.14513888888888887</v>
      </c>
      <c r="AB25" s="25">
        <f t="shared" si="23"/>
        <v>0.14513888888888887</v>
      </c>
      <c r="AC25" s="58">
        <f t="shared" si="23"/>
        <v>0.14513888888888887</v>
      </c>
    </row>
    <row r="26" spans="1:29" s="46" customFormat="1" ht="16.5" thickBot="1" x14ac:dyDescent="0.3">
      <c r="A26" s="96" t="s">
        <v>7</v>
      </c>
      <c r="B26" s="104">
        <v>352</v>
      </c>
      <c r="C26" s="105">
        <v>352</v>
      </c>
      <c r="D26" s="105">
        <v>352</v>
      </c>
      <c r="E26" s="105">
        <v>352</v>
      </c>
      <c r="F26" s="105">
        <v>352</v>
      </c>
      <c r="G26" s="105">
        <v>352</v>
      </c>
      <c r="H26" s="105">
        <v>352</v>
      </c>
      <c r="I26" s="105">
        <v>352</v>
      </c>
      <c r="J26" s="105">
        <v>352</v>
      </c>
      <c r="K26" s="105">
        <v>352</v>
      </c>
      <c r="L26" s="105">
        <v>352</v>
      </c>
      <c r="M26" s="105">
        <v>352</v>
      </c>
      <c r="N26" s="105">
        <v>352</v>
      </c>
      <c r="O26" s="105">
        <v>352</v>
      </c>
      <c r="P26" s="105">
        <v>352</v>
      </c>
      <c r="Q26" s="105">
        <v>352</v>
      </c>
      <c r="R26" s="105">
        <v>352</v>
      </c>
      <c r="S26" s="105">
        <v>352</v>
      </c>
      <c r="T26" s="105">
        <v>352</v>
      </c>
      <c r="U26" s="105">
        <v>352</v>
      </c>
      <c r="V26" s="105">
        <v>352</v>
      </c>
      <c r="W26" s="105">
        <v>352</v>
      </c>
      <c r="X26" s="105">
        <v>352</v>
      </c>
      <c r="Y26" s="105">
        <v>352</v>
      </c>
      <c r="Z26" s="105">
        <v>352</v>
      </c>
      <c r="AA26" s="105">
        <v>352</v>
      </c>
      <c r="AB26" s="105">
        <v>352</v>
      </c>
      <c r="AC26" s="105">
        <v>352</v>
      </c>
    </row>
    <row r="27" spans="1:29" s="46" customFormat="1" ht="15.75" x14ac:dyDescent="0.25">
      <c r="A27" s="97" t="s">
        <v>16</v>
      </c>
      <c r="B27" s="106">
        <v>0.84722222222222221</v>
      </c>
      <c r="C27" s="107">
        <v>0.84722222222222221</v>
      </c>
      <c r="D27" s="107">
        <v>0.84722222222222221</v>
      </c>
      <c r="E27" s="107">
        <v>0.84722222222222221</v>
      </c>
      <c r="F27" s="107">
        <v>0.84722222222222221</v>
      </c>
      <c r="G27" s="107">
        <v>0.84722222222222221</v>
      </c>
      <c r="H27" s="107">
        <v>0.84722222222222221</v>
      </c>
      <c r="I27" s="107">
        <v>0.84722222222222221</v>
      </c>
      <c r="J27" s="107">
        <v>0.84722222222222221</v>
      </c>
      <c r="K27" s="107">
        <v>0.84722222222222221</v>
      </c>
      <c r="L27" s="107">
        <v>0.84722222222222221</v>
      </c>
      <c r="M27" s="107">
        <v>0.84722222222222221</v>
      </c>
      <c r="N27" s="107">
        <v>0.84722222222222221</v>
      </c>
      <c r="O27" s="107">
        <v>0.84722222222222221</v>
      </c>
      <c r="P27" s="107">
        <v>0.84722222222222221</v>
      </c>
      <c r="Q27" s="107">
        <v>0.84722222222222221</v>
      </c>
      <c r="R27" s="107">
        <v>0.84722222222222221</v>
      </c>
      <c r="S27" s="107">
        <v>0.84722222222222221</v>
      </c>
      <c r="T27" s="107">
        <v>0.84722222222222221</v>
      </c>
      <c r="U27" s="107">
        <v>0.84722222222222221</v>
      </c>
      <c r="V27" s="107">
        <v>0.84722222222222221</v>
      </c>
      <c r="W27" s="107">
        <v>0.84722222222222221</v>
      </c>
      <c r="X27" s="107">
        <v>0.84722222222222221</v>
      </c>
      <c r="Y27" s="107">
        <v>0.84722222222222221</v>
      </c>
      <c r="Z27" s="107">
        <v>0.84722222222222221</v>
      </c>
      <c r="AA27" s="107">
        <v>0.84722222222222221</v>
      </c>
      <c r="AB27" s="107">
        <v>0.84722222222222221</v>
      </c>
      <c r="AC27" s="108">
        <v>0.84722222222222221</v>
      </c>
    </row>
    <row r="28" spans="1:29" s="46" customFormat="1" ht="15.75" x14ac:dyDescent="0.25">
      <c r="A28" s="97" t="s">
        <v>45</v>
      </c>
      <c r="B28" s="9"/>
      <c r="C28" s="3">
        <v>0.9375</v>
      </c>
      <c r="D28" s="3">
        <v>0.9375</v>
      </c>
      <c r="E28" s="3">
        <v>0.9375</v>
      </c>
      <c r="F28" s="3">
        <v>0.9375</v>
      </c>
      <c r="G28" s="3">
        <v>0.9375</v>
      </c>
      <c r="H28" s="3">
        <v>0.9375</v>
      </c>
      <c r="I28" s="3">
        <v>0.9375</v>
      </c>
      <c r="J28" s="3">
        <v>0.9375</v>
      </c>
      <c r="K28" s="3">
        <v>0.9375</v>
      </c>
      <c r="L28" s="3">
        <v>0.9375</v>
      </c>
      <c r="M28" s="3">
        <v>0.9375</v>
      </c>
      <c r="N28" s="3">
        <v>0.9375</v>
      </c>
      <c r="O28" s="3">
        <v>0.9375</v>
      </c>
      <c r="P28" s="3">
        <v>0.9375</v>
      </c>
      <c r="Q28" s="3">
        <v>0.9375</v>
      </c>
      <c r="R28" s="3">
        <v>0.9375</v>
      </c>
      <c r="S28" s="3">
        <v>0.9375</v>
      </c>
      <c r="T28" s="3">
        <v>0.9375</v>
      </c>
      <c r="U28" s="3">
        <v>0.9375</v>
      </c>
      <c r="V28" s="3">
        <v>0.9375</v>
      </c>
      <c r="W28" s="3">
        <v>0.9375</v>
      </c>
      <c r="X28" s="3">
        <v>0.9375</v>
      </c>
      <c r="Y28" s="3">
        <v>0.9375</v>
      </c>
      <c r="Z28" s="3">
        <v>0.9375</v>
      </c>
      <c r="AA28" s="3">
        <v>0.9375</v>
      </c>
      <c r="AB28" s="3">
        <v>0.9375</v>
      </c>
      <c r="AC28" s="19">
        <v>0.9375</v>
      </c>
    </row>
    <row r="29" spans="1:29" s="49" customFormat="1" ht="15.75" x14ac:dyDescent="0.25">
      <c r="A29" s="98" t="s">
        <v>8</v>
      </c>
      <c r="B29" s="11">
        <v>351</v>
      </c>
      <c r="C29" s="4">
        <v>351</v>
      </c>
      <c r="D29" s="4">
        <v>351</v>
      </c>
      <c r="E29" s="4">
        <v>351</v>
      </c>
      <c r="F29" s="4">
        <v>351</v>
      </c>
      <c r="G29" s="4">
        <v>351</v>
      </c>
      <c r="H29" s="4">
        <v>351</v>
      </c>
      <c r="I29" s="4">
        <v>351</v>
      </c>
      <c r="J29" s="4">
        <v>351</v>
      </c>
      <c r="K29" s="4">
        <v>351</v>
      </c>
      <c r="L29" s="4">
        <v>351</v>
      </c>
      <c r="M29" s="4">
        <v>351</v>
      </c>
      <c r="N29" s="4">
        <v>351</v>
      </c>
      <c r="O29" s="4">
        <v>351</v>
      </c>
      <c r="P29" s="4">
        <v>351</v>
      </c>
      <c r="Q29" s="4">
        <v>351</v>
      </c>
      <c r="R29" s="4">
        <v>351</v>
      </c>
      <c r="S29" s="4">
        <v>351</v>
      </c>
      <c r="T29" s="4">
        <v>351</v>
      </c>
      <c r="U29" s="4">
        <v>351</v>
      </c>
      <c r="V29" s="4">
        <v>351</v>
      </c>
      <c r="W29" s="4">
        <v>351</v>
      </c>
      <c r="X29" s="4">
        <v>351</v>
      </c>
      <c r="Y29" s="4">
        <v>351</v>
      </c>
      <c r="Z29" s="4">
        <v>351</v>
      </c>
      <c r="AA29" s="4">
        <v>351</v>
      </c>
      <c r="AB29" s="4">
        <v>351</v>
      </c>
      <c r="AC29" s="20">
        <v>351</v>
      </c>
    </row>
    <row r="30" spans="1:29" s="49" customFormat="1" ht="15.75" x14ac:dyDescent="0.25">
      <c r="A30" s="98" t="s">
        <v>46</v>
      </c>
      <c r="B30" s="10">
        <v>0.3125</v>
      </c>
      <c r="C30" s="1">
        <v>0.3125</v>
      </c>
      <c r="D30" s="1">
        <v>0.3125</v>
      </c>
      <c r="E30" s="1">
        <v>0.3125</v>
      </c>
      <c r="F30" s="1">
        <v>0.3125</v>
      </c>
      <c r="G30" s="1">
        <v>0.3125</v>
      </c>
      <c r="H30" s="1">
        <v>0.3125</v>
      </c>
      <c r="I30" s="1">
        <v>0.3125</v>
      </c>
      <c r="J30" s="1">
        <v>0.3125</v>
      </c>
      <c r="K30" s="1">
        <v>0.3125</v>
      </c>
      <c r="L30" s="1">
        <v>0.3125</v>
      </c>
      <c r="M30" s="1">
        <v>0.3125</v>
      </c>
      <c r="N30" s="1">
        <v>0.3125</v>
      </c>
      <c r="O30" s="1">
        <v>0.3125</v>
      </c>
      <c r="P30" s="1">
        <v>0.3125</v>
      </c>
      <c r="Q30" s="1">
        <v>0.3125</v>
      </c>
      <c r="R30" s="1">
        <v>0.3125</v>
      </c>
      <c r="S30" s="1">
        <v>0.3125</v>
      </c>
      <c r="T30" s="1">
        <v>0.3125</v>
      </c>
      <c r="U30" s="1">
        <v>0.3125</v>
      </c>
      <c r="V30" s="1">
        <v>0.3125</v>
      </c>
      <c r="W30" s="1">
        <v>0.3125</v>
      </c>
      <c r="X30" s="1">
        <v>0.3125</v>
      </c>
      <c r="Y30" s="1">
        <v>0.3125</v>
      </c>
      <c r="Z30" s="1">
        <v>0.3125</v>
      </c>
      <c r="AA30" s="1">
        <v>0.3125</v>
      </c>
      <c r="AB30" s="1">
        <v>0.3125</v>
      </c>
      <c r="AC30" s="21">
        <v>0.3125</v>
      </c>
    </row>
    <row r="31" spans="1:29" s="45" customFormat="1" ht="15.75" x14ac:dyDescent="0.25">
      <c r="A31" s="99" t="s">
        <v>47</v>
      </c>
      <c r="B31" s="15"/>
      <c r="C31" s="8">
        <f t="shared" ref="C31" si="24">C30-C28+24</f>
        <v>23.375</v>
      </c>
      <c r="D31" s="8">
        <f t="shared" ref="D31:R31" si="25">D30-D28+24</f>
        <v>23.375</v>
      </c>
      <c r="E31" s="8">
        <f t="shared" si="25"/>
        <v>23.375</v>
      </c>
      <c r="F31" s="8">
        <f t="shared" si="25"/>
        <v>23.375</v>
      </c>
      <c r="G31" s="8">
        <f t="shared" si="25"/>
        <v>23.375</v>
      </c>
      <c r="H31" s="8">
        <f t="shared" si="25"/>
        <v>23.375</v>
      </c>
      <c r="I31" s="8">
        <f t="shared" si="25"/>
        <v>23.375</v>
      </c>
      <c r="J31" s="8">
        <f t="shared" si="25"/>
        <v>23.375</v>
      </c>
      <c r="K31" s="8">
        <f t="shared" si="25"/>
        <v>23.375</v>
      </c>
      <c r="L31" s="8">
        <f t="shared" si="25"/>
        <v>23.375</v>
      </c>
      <c r="M31" s="8">
        <f t="shared" si="25"/>
        <v>23.375</v>
      </c>
      <c r="N31" s="8">
        <f t="shared" si="25"/>
        <v>23.375</v>
      </c>
      <c r="O31" s="8">
        <f t="shared" si="25"/>
        <v>23.375</v>
      </c>
      <c r="P31" s="8">
        <f t="shared" si="25"/>
        <v>23.375</v>
      </c>
      <c r="Q31" s="8">
        <f t="shared" si="25"/>
        <v>23.375</v>
      </c>
      <c r="R31" s="8">
        <f t="shared" si="25"/>
        <v>23.375</v>
      </c>
      <c r="S31" s="8">
        <f t="shared" ref="S31:AC31" si="26">S30-S28+24</f>
        <v>23.375</v>
      </c>
      <c r="T31" s="8">
        <f t="shared" si="26"/>
        <v>23.375</v>
      </c>
      <c r="U31" s="8">
        <f t="shared" si="26"/>
        <v>23.375</v>
      </c>
      <c r="V31" s="8">
        <f t="shared" si="26"/>
        <v>23.375</v>
      </c>
      <c r="W31" s="8">
        <f t="shared" si="26"/>
        <v>23.375</v>
      </c>
      <c r="X31" s="8">
        <f t="shared" si="26"/>
        <v>23.375</v>
      </c>
      <c r="Y31" s="8">
        <f t="shared" si="26"/>
        <v>23.375</v>
      </c>
      <c r="Z31" s="8">
        <f t="shared" si="26"/>
        <v>23.375</v>
      </c>
      <c r="AA31" s="8">
        <f t="shared" si="26"/>
        <v>23.375</v>
      </c>
      <c r="AB31" s="8">
        <f t="shared" si="26"/>
        <v>23.375</v>
      </c>
      <c r="AC31" s="22">
        <f t="shared" si="26"/>
        <v>23.375</v>
      </c>
    </row>
    <row r="32" spans="1:29" s="45" customFormat="1" ht="15.75" x14ac:dyDescent="0.25">
      <c r="A32" s="100" t="s">
        <v>18</v>
      </c>
      <c r="B32" s="61"/>
      <c r="C32" s="40">
        <v>0.48125000000000001</v>
      </c>
      <c r="D32" s="40">
        <v>0.48125000000000001</v>
      </c>
      <c r="E32" s="40">
        <v>0.48125000000000001</v>
      </c>
      <c r="F32" s="40">
        <v>0.48125000000000001</v>
      </c>
      <c r="G32" s="40">
        <v>0.48125000000000001</v>
      </c>
      <c r="H32" s="40">
        <v>0.48125000000000001</v>
      </c>
      <c r="I32" s="40">
        <v>0.48125000000000001</v>
      </c>
      <c r="J32" s="40">
        <v>0.48125000000000001</v>
      </c>
      <c r="K32" s="40">
        <v>0.48125000000000001</v>
      </c>
      <c r="L32" s="40">
        <v>0.48125000000000001</v>
      </c>
      <c r="M32" s="40">
        <v>0.48125000000000001</v>
      </c>
      <c r="N32" s="40">
        <v>0.48125000000000001</v>
      </c>
      <c r="O32" s="40">
        <v>0.48125000000000001</v>
      </c>
      <c r="P32" s="40">
        <v>0.48125000000000001</v>
      </c>
      <c r="Q32" s="40">
        <v>0.48125000000000001</v>
      </c>
      <c r="R32" s="40">
        <v>0.48125000000000001</v>
      </c>
      <c r="S32" s="40">
        <v>0.48125000000000001</v>
      </c>
      <c r="T32" s="40">
        <v>0.48125000000000001</v>
      </c>
      <c r="U32" s="40">
        <v>0.48125000000000001</v>
      </c>
      <c r="V32" s="40">
        <v>0.48125000000000001</v>
      </c>
      <c r="W32" s="40">
        <v>0.48125000000000001</v>
      </c>
      <c r="X32" s="40">
        <v>0.48125000000000001</v>
      </c>
      <c r="Y32" s="40">
        <v>0.48125000000000001</v>
      </c>
      <c r="Z32" s="40">
        <v>0.48125000000000001</v>
      </c>
      <c r="AA32" s="40">
        <v>0.48125000000000001</v>
      </c>
      <c r="AB32" s="40">
        <v>0.48125000000000001</v>
      </c>
      <c r="AC32" s="62">
        <v>0.48125000000000001</v>
      </c>
    </row>
    <row r="33" spans="1:29" s="45" customFormat="1" ht="16.5" thickBot="1" x14ac:dyDescent="0.3">
      <c r="A33" s="101" t="s">
        <v>12</v>
      </c>
      <c r="B33" s="24"/>
      <c r="C33" s="25">
        <f t="shared" ref="C33" si="27">(C27-C32)+24</f>
        <v>24.365972222222222</v>
      </c>
      <c r="D33" s="25">
        <f t="shared" ref="D33:S33" si="28">(D27-D32)+24</f>
        <v>24.365972222222222</v>
      </c>
      <c r="E33" s="25">
        <f t="shared" si="28"/>
        <v>24.365972222222222</v>
      </c>
      <c r="F33" s="25">
        <f t="shared" si="28"/>
        <v>24.365972222222222</v>
      </c>
      <c r="G33" s="25">
        <f t="shared" si="28"/>
        <v>24.365972222222222</v>
      </c>
      <c r="H33" s="25">
        <f t="shared" si="28"/>
        <v>24.365972222222222</v>
      </c>
      <c r="I33" s="25">
        <f t="shared" si="28"/>
        <v>24.365972222222222</v>
      </c>
      <c r="J33" s="25">
        <f t="shared" si="28"/>
        <v>24.365972222222222</v>
      </c>
      <c r="K33" s="25">
        <f t="shared" si="28"/>
        <v>24.365972222222222</v>
      </c>
      <c r="L33" s="25">
        <f t="shared" si="28"/>
        <v>24.365972222222222</v>
      </c>
      <c r="M33" s="25">
        <f t="shared" si="28"/>
        <v>24.365972222222222</v>
      </c>
      <c r="N33" s="25">
        <f t="shared" si="28"/>
        <v>24.365972222222222</v>
      </c>
      <c r="O33" s="25">
        <f t="shared" si="28"/>
        <v>24.365972222222222</v>
      </c>
      <c r="P33" s="25">
        <f t="shared" si="28"/>
        <v>24.365972222222222</v>
      </c>
      <c r="Q33" s="25">
        <f t="shared" si="28"/>
        <v>24.365972222222222</v>
      </c>
      <c r="R33" s="25">
        <f t="shared" si="28"/>
        <v>24.365972222222222</v>
      </c>
      <c r="S33" s="25">
        <f t="shared" si="28"/>
        <v>24.365972222222222</v>
      </c>
      <c r="T33" s="25">
        <f t="shared" ref="T33" si="29">(T27-T32)+24</f>
        <v>24.365972222222222</v>
      </c>
      <c r="U33" s="25">
        <f t="shared" ref="U33" si="30">(U27-U32)+24</f>
        <v>24.365972222222222</v>
      </c>
      <c r="V33" s="25">
        <f t="shared" ref="V33" si="31">(V27-V32)+24</f>
        <v>24.365972222222222</v>
      </c>
      <c r="W33" s="25">
        <f t="shared" ref="W33" si="32">(W27-W32)+24</f>
        <v>24.365972222222222</v>
      </c>
      <c r="X33" s="25">
        <f t="shared" ref="X33" si="33">(X27-X32)+24</f>
        <v>24.365972222222222</v>
      </c>
      <c r="Y33" s="25">
        <f t="shared" ref="Y33" si="34">(Y27-Y32)+24</f>
        <v>24.365972222222222</v>
      </c>
      <c r="Z33" s="25">
        <f t="shared" ref="Z33" si="35">(Z27-Z32)+24</f>
        <v>24.365972222222222</v>
      </c>
      <c r="AA33" s="25">
        <f t="shared" ref="AA33" si="36">(AA27-AA32)+24</f>
        <v>24.365972222222222</v>
      </c>
      <c r="AB33" s="25">
        <f t="shared" ref="AB33" si="37">(AB27-AB32)+24</f>
        <v>24.365972222222222</v>
      </c>
      <c r="AC33" s="58">
        <f t="shared" ref="AC33" si="38">(AC27-AC32)+24</f>
        <v>24.365972222222222</v>
      </c>
    </row>
    <row r="34" spans="1:29" s="46" customFormat="1" ht="15.75" x14ac:dyDescent="0.25">
      <c r="A34" s="96" t="s">
        <v>7</v>
      </c>
      <c r="B34" s="23">
        <v>302</v>
      </c>
      <c r="C34" s="17"/>
      <c r="D34" s="17">
        <v>302</v>
      </c>
      <c r="E34" s="17"/>
      <c r="F34" s="17">
        <v>302</v>
      </c>
      <c r="G34" s="17"/>
      <c r="H34" s="17">
        <v>302</v>
      </c>
      <c r="I34" s="17"/>
      <c r="J34" s="17">
        <v>302</v>
      </c>
      <c r="K34" s="17"/>
      <c r="L34" s="17">
        <v>302</v>
      </c>
      <c r="M34" s="17"/>
      <c r="N34" s="17">
        <v>302</v>
      </c>
      <c r="O34" s="17"/>
      <c r="P34" s="17">
        <v>302</v>
      </c>
      <c r="Q34" s="17"/>
      <c r="R34" s="17">
        <v>302</v>
      </c>
      <c r="S34" s="17"/>
      <c r="T34" s="17"/>
      <c r="U34" s="17">
        <v>302</v>
      </c>
      <c r="V34" s="17"/>
      <c r="W34" s="17">
        <v>302</v>
      </c>
      <c r="X34" s="17"/>
      <c r="Y34" s="17">
        <v>302</v>
      </c>
      <c r="Z34" s="17"/>
      <c r="AA34" s="17">
        <v>302</v>
      </c>
      <c r="AB34" s="17"/>
      <c r="AC34" s="18">
        <v>302</v>
      </c>
    </row>
    <row r="35" spans="1:29" s="46" customFormat="1" ht="15.75" x14ac:dyDescent="0.25">
      <c r="A35" s="97" t="s">
        <v>16</v>
      </c>
      <c r="B35" s="9">
        <v>0.62152777777777779</v>
      </c>
      <c r="C35" s="3"/>
      <c r="D35" s="3">
        <v>0.62152777777777779</v>
      </c>
      <c r="E35" s="3"/>
      <c r="F35" s="3">
        <v>0.62152777777777779</v>
      </c>
      <c r="G35" s="3"/>
      <c r="H35" s="3">
        <v>0.62152777777777779</v>
      </c>
      <c r="I35" s="3"/>
      <c r="J35" s="3">
        <v>0.62152777777777779</v>
      </c>
      <c r="K35" s="3"/>
      <c r="L35" s="3">
        <v>0.62152777777777779</v>
      </c>
      <c r="M35" s="3"/>
      <c r="N35" s="3">
        <v>0.62152777777777779</v>
      </c>
      <c r="O35" s="3"/>
      <c r="P35" s="3">
        <v>0.62152777777777779</v>
      </c>
      <c r="Q35" s="3"/>
      <c r="R35" s="3">
        <v>0.62152777777777779</v>
      </c>
      <c r="S35" s="3"/>
      <c r="T35" s="3"/>
      <c r="U35" s="3">
        <v>0.62152777777777779</v>
      </c>
      <c r="V35" s="3"/>
      <c r="W35" s="3">
        <v>0.62152777777777779</v>
      </c>
      <c r="X35" s="3"/>
      <c r="Y35" s="3">
        <v>0.62152777777777779</v>
      </c>
      <c r="Z35" s="3"/>
      <c r="AA35" s="3">
        <v>0.62152777777777779</v>
      </c>
      <c r="AB35" s="3"/>
      <c r="AC35" s="19">
        <v>0.62152777777777779</v>
      </c>
    </row>
    <row r="36" spans="1:29" s="46" customFormat="1" ht="15.75" x14ac:dyDescent="0.25">
      <c r="A36" s="97" t="s">
        <v>55</v>
      </c>
      <c r="B36" s="9"/>
      <c r="C36" s="3">
        <v>0.77083333333333337</v>
      </c>
      <c r="D36" s="3"/>
      <c r="E36" s="3">
        <v>0.77083333333333337</v>
      </c>
      <c r="F36" s="3"/>
      <c r="G36" s="3">
        <v>0.77083333333333337</v>
      </c>
      <c r="H36" s="3"/>
      <c r="I36" s="3">
        <v>0.77083333333333337</v>
      </c>
      <c r="J36" s="3"/>
      <c r="K36" s="3">
        <v>0.77083333333333337</v>
      </c>
      <c r="L36" s="3"/>
      <c r="M36" s="3">
        <v>0.77083333333333337</v>
      </c>
      <c r="N36" s="3"/>
      <c r="O36" s="3">
        <v>0.77083333333333337</v>
      </c>
      <c r="P36" s="3"/>
      <c r="Q36" s="3">
        <v>0.77083333333333337</v>
      </c>
      <c r="R36" s="3"/>
      <c r="S36" s="3">
        <v>0.77083333333333337</v>
      </c>
      <c r="T36" s="3"/>
      <c r="U36" s="3"/>
      <c r="V36" s="3">
        <v>0.77083333333333337</v>
      </c>
      <c r="W36" s="3"/>
      <c r="X36" s="3">
        <v>0.77083333333333337</v>
      </c>
      <c r="Y36" s="3"/>
      <c r="Z36" s="3">
        <v>0.77083333333333337</v>
      </c>
      <c r="AA36" s="3"/>
      <c r="AB36" s="3">
        <v>0.77083333333333337</v>
      </c>
      <c r="AC36" s="19"/>
    </row>
    <row r="37" spans="1:29" s="49" customFormat="1" ht="15.75" x14ac:dyDescent="0.25">
      <c r="A37" s="98" t="s">
        <v>8</v>
      </c>
      <c r="B37" s="11"/>
      <c r="C37" s="4">
        <v>301</v>
      </c>
      <c r="D37" s="4"/>
      <c r="E37" s="4">
        <v>301</v>
      </c>
      <c r="F37" s="4"/>
      <c r="G37" s="4">
        <v>301</v>
      </c>
      <c r="H37" s="4"/>
      <c r="I37" s="4">
        <v>301</v>
      </c>
      <c r="J37" s="4"/>
      <c r="K37" s="4">
        <v>301</v>
      </c>
      <c r="L37" s="4"/>
      <c r="M37" s="4">
        <v>301</v>
      </c>
      <c r="N37" s="4"/>
      <c r="O37" s="4">
        <v>301</v>
      </c>
      <c r="P37" s="4"/>
      <c r="Q37" s="4">
        <v>301</v>
      </c>
      <c r="R37" s="63"/>
      <c r="S37" s="4"/>
      <c r="T37" s="4">
        <v>301</v>
      </c>
      <c r="U37" s="4"/>
      <c r="V37" s="4">
        <v>301</v>
      </c>
      <c r="W37" s="4"/>
      <c r="X37" s="4">
        <v>301</v>
      </c>
      <c r="Y37" s="4"/>
      <c r="Z37" s="4">
        <v>301</v>
      </c>
      <c r="AA37" s="4"/>
      <c r="AB37" s="4">
        <v>301</v>
      </c>
      <c r="AC37" s="20"/>
    </row>
    <row r="38" spans="1:29" s="49" customFormat="1" ht="15.75" x14ac:dyDescent="0.25">
      <c r="A38" s="98" t="s">
        <v>56</v>
      </c>
      <c r="B38" s="10"/>
      <c r="C38" s="1">
        <v>0.14027777777777778</v>
      </c>
      <c r="D38" s="1"/>
      <c r="E38" s="1">
        <v>0.14027777777777778</v>
      </c>
      <c r="F38" s="1"/>
      <c r="G38" s="1">
        <v>0.14027777777777778</v>
      </c>
      <c r="H38" s="1"/>
      <c r="I38" s="1">
        <v>0.14027777777777778</v>
      </c>
      <c r="J38" s="1"/>
      <c r="K38" s="1">
        <v>0.14027777777777778</v>
      </c>
      <c r="L38" s="1"/>
      <c r="M38" s="1">
        <v>0.14027777777777778</v>
      </c>
      <c r="N38" s="1"/>
      <c r="O38" s="1">
        <v>0.14027777777777778</v>
      </c>
      <c r="P38" s="1"/>
      <c r="Q38" s="1">
        <v>0.14027777777777778</v>
      </c>
      <c r="R38" s="63"/>
      <c r="S38" s="1"/>
      <c r="T38" s="1">
        <v>0.14027777777777778</v>
      </c>
      <c r="U38" s="1"/>
      <c r="V38" s="1">
        <v>0.14027777777777778</v>
      </c>
      <c r="W38" s="1"/>
      <c r="X38" s="1">
        <v>0.14027777777777778</v>
      </c>
      <c r="Y38" s="1"/>
      <c r="Z38" s="1">
        <v>0.14027777777777778</v>
      </c>
      <c r="AA38" s="1"/>
      <c r="AB38" s="1">
        <v>0.14027777777777778</v>
      </c>
      <c r="AC38" s="21"/>
    </row>
    <row r="39" spans="1:29" s="45" customFormat="1" ht="15.75" x14ac:dyDescent="0.25">
      <c r="A39" s="99" t="s">
        <v>66</v>
      </c>
      <c r="B39" s="33"/>
      <c r="C39" s="94"/>
      <c r="D39" s="8"/>
      <c r="E39" s="64">
        <v>1.3694444444444445</v>
      </c>
      <c r="F39" s="8"/>
      <c r="G39" s="64">
        <v>1.3694444444444445</v>
      </c>
      <c r="H39" s="8"/>
      <c r="I39" s="64">
        <v>1.3694444444444445</v>
      </c>
      <c r="J39" s="8"/>
      <c r="K39" s="64">
        <v>1.3694444444444445</v>
      </c>
      <c r="L39" s="8"/>
      <c r="M39" s="64">
        <v>1.3694444444444445</v>
      </c>
      <c r="N39" s="8"/>
      <c r="O39" s="64">
        <v>1.3694444444444445</v>
      </c>
      <c r="P39" s="8"/>
      <c r="Q39" s="64">
        <v>1.3694444444444445</v>
      </c>
      <c r="R39" s="65"/>
      <c r="S39" s="65"/>
      <c r="T39" s="64">
        <v>1.3694444444444445</v>
      </c>
      <c r="U39" s="8"/>
      <c r="V39" s="64">
        <v>1.3694444444444445</v>
      </c>
      <c r="W39" s="8"/>
      <c r="X39" s="64">
        <v>1.3694444444444445</v>
      </c>
      <c r="Y39" s="8"/>
      <c r="Z39" s="64">
        <v>1.3694444444444445</v>
      </c>
      <c r="AA39" s="8"/>
      <c r="AB39" s="64">
        <v>1.3694444444444445</v>
      </c>
      <c r="AC39" s="22"/>
    </row>
    <row r="40" spans="1:29" s="45" customFormat="1" ht="15.75" x14ac:dyDescent="0.25">
      <c r="A40" s="100" t="s">
        <v>18</v>
      </c>
      <c r="B40" s="61"/>
      <c r="C40" s="40"/>
      <c r="D40" s="40">
        <v>0.29236111111111113</v>
      </c>
      <c r="E40" s="40"/>
      <c r="F40" s="40">
        <v>0.29236111111111113</v>
      </c>
      <c r="G40" s="40"/>
      <c r="H40" s="40">
        <v>0.29236111111111113</v>
      </c>
      <c r="I40" s="40"/>
      <c r="J40" s="40">
        <v>0.29236111111111113</v>
      </c>
      <c r="K40" s="40"/>
      <c r="L40" s="40">
        <v>0.29236111111111113</v>
      </c>
      <c r="M40" s="40"/>
      <c r="N40" s="40">
        <v>0.29236111111111113</v>
      </c>
      <c r="O40" s="40"/>
      <c r="P40" s="40">
        <v>0.29236111111111113</v>
      </c>
      <c r="Q40" s="40"/>
      <c r="R40" s="40">
        <v>0.29236111111111113</v>
      </c>
      <c r="S40" s="40"/>
      <c r="T40" s="40"/>
      <c r="U40" s="40">
        <v>0.29236111111111113</v>
      </c>
      <c r="V40" s="40"/>
      <c r="W40" s="40">
        <v>0.29236111111111113</v>
      </c>
      <c r="X40" s="40"/>
      <c r="Y40" s="40">
        <v>0.29236111111111113</v>
      </c>
      <c r="Z40" s="40"/>
      <c r="AA40" s="40">
        <v>0.29236111111111113</v>
      </c>
      <c r="AB40" s="40"/>
      <c r="AC40" s="62">
        <v>0.29236111111111113</v>
      </c>
    </row>
    <row r="41" spans="1:29" s="45" customFormat="1" ht="16.5" thickBot="1" x14ac:dyDescent="0.3">
      <c r="A41" s="101" t="s">
        <v>12</v>
      </c>
      <c r="B41" s="66"/>
      <c r="C41" s="68"/>
      <c r="D41" s="67">
        <f>D35-D40</f>
        <v>0.32916666666666666</v>
      </c>
      <c r="E41" s="68"/>
      <c r="F41" s="67">
        <f>F35-F40</f>
        <v>0.32916666666666666</v>
      </c>
      <c r="G41" s="68"/>
      <c r="H41" s="67">
        <f>H35-H40</f>
        <v>0.32916666666666666</v>
      </c>
      <c r="I41" s="68"/>
      <c r="J41" s="67">
        <f>J35-J40</f>
        <v>0.32916666666666666</v>
      </c>
      <c r="K41" s="68"/>
      <c r="L41" s="67">
        <f>L35-L40</f>
        <v>0.32916666666666666</v>
      </c>
      <c r="M41" s="68"/>
      <c r="N41" s="67">
        <f>N35-N40</f>
        <v>0.32916666666666666</v>
      </c>
      <c r="O41" s="68"/>
      <c r="P41" s="67">
        <f>P35-P40</f>
        <v>0.32916666666666666</v>
      </c>
      <c r="Q41" s="68"/>
      <c r="R41" s="67">
        <f>R35-R40</f>
        <v>0.32916666666666666</v>
      </c>
      <c r="S41" s="67"/>
      <c r="T41" s="68"/>
      <c r="U41" s="67">
        <f>U35-U40</f>
        <v>0.32916666666666666</v>
      </c>
      <c r="V41" s="68"/>
      <c r="W41" s="67">
        <f>W35-W40</f>
        <v>0.32916666666666666</v>
      </c>
      <c r="X41" s="68"/>
      <c r="Y41" s="67">
        <f>Y35-Y40</f>
        <v>0.32916666666666666</v>
      </c>
      <c r="Z41" s="68"/>
      <c r="AA41" s="67">
        <f>AA35-AA40</f>
        <v>0.32916666666666666</v>
      </c>
      <c r="AB41" s="68"/>
      <c r="AC41" s="69">
        <f>AC35-AC40</f>
        <v>0.32916666666666666</v>
      </c>
    </row>
    <row r="42" spans="1:29" s="46" customFormat="1" ht="15.75" x14ac:dyDescent="0.25">
      <c r="A42" s="96" t="s">
        <v>7</v>
      </c>
      <c r="B42" s="23"/>
      <c r="C42" s="17"/>
      <c r="D42" s="17" t="s">
        <v>10</v>
      </c>
      <c r="E42" s="17"/>
      <c r="F42" s="17" t="s">
        <v>10</v>
      </c>
      <c r="G42" s="17"/>
      <c r="H42" s="17"/>
      <c r="I42" s="17"/>
      <c r="J42" s="17" t="s">
        <v>10</v>
      </c>
      <c r="K42" s="17"/>
      <c r="L42" s="17" t="s">
        <v>10</v>
      </c>
      <c r="M42" s="17"/>
      <c r="N42" s="17" t="s">
        <v>10</v>
      </c>
      <c r="O42" s="17"/>
      <c r="P42" s="17"/>
      <c r="Q42" s="17"/>
      <c r="R42" s="17" t="s">
        <v>10</v>
      </c>
      <c r="S42" s="17"/>
      <c r="T42" s="17" t="s">
        <v>10</v>
      </c>
      <c r="U42" s="17"/>
      <c r="V42" s="17"/>
      <c r="W42" s="17"/>
      <c r="X42" s="17"/>
      <c r="Y42" s="17" t="s">
        <v>10</v>
      </c>
      <c r="Z42" s="17"/>
      <c r="AA42" s="17" t="s">
        <v>10</v>
      </c>
      <c r="AB42" s="17"/>
      <c r="AC42" s="18"/>
    </row>
    <row r="43" spans="1:29" s="46" customFormat="1" ht="15.75" x14ac:dyDescent="0.25">
      <c r="A43" s="97" t="s">
        <v>15</v>
      </c>
      <c r="B43" s="9"/>
      <c r="C43" s="3"/>
      <c r="D43" s="3">
        <v>0.29236111111111113</v>
      </c>
      <c r="E43" s="3"/>
      <c r="F43" s="3">
        <v>0.29236111111111113</v>
      </c>
      <c r="G43" s="3"/>
      <c r="H43" s="3"/>
      <c r="I43" s="3"/>
      <c r="J43" s="3">
        <v>0.29236111111111113</v>
      </c>
      <c r="K43" s="3"/>
      <c r="L43" s="3">
        <v>0.29236111111111113</v>
      </c>
      <c r="M43" s="3"/>
      <c r="N43" s="3">
        <v>0.29236111111111113</v>
      </c>
      <c r="O43" s="3"/>
      <c r="P43" s="3"/>
      <c r="Q43" s="3"/>
      <c r="R43" s="3">
        <v>0.29236111111111113</v>
      </c>
      <c r="S43" s="3"/>
      <c r="T43" s="3">
        <v>0.29236111111111113</v>
      </c>
      <c r="U43" s="3"/>
      <c r="V43" s="3"/>
      <c r="W43" s="3"/>
      <c r="X43" s="3"/>
      <c r="Y43" s="3">
        <v>0.29236111111111113</v>
      </c>
      <c r="Z43" s="3"/>
      <c r="AA43" s="3">
        <v>0.29236111111111113</v>
      </c>
      <c r="AB43" s="3"/>
      <c r="AC43" s="19"/>
    </row>
    <row r="44" spans="1:29" s="46" customFormat="1" ht="15.75" x14ac:dyDescent="0.25">
      <c r="A44" s="97" t="s">
        <v>23</v>
      </c>
      <c r="B44" s="9"/>
      <c r="C44" s="3"/>
      <c r="D44" s="3">
        <v>0.89583333333333337</v>
      </c>
      <c r="E44" s="3"/>
      <c r="F44" s="3">
        <v>0.89583333333333337</v>
      </c>
      <c r="G44" s="3"/>
      <c r="H44" s="3"/>
      <c r="I44" s="3"/>
      <c r="J44" s="3">
        <v>0.89583333333333337</v>
      </c>
      <c r="K44" s="3"/>
      <c r="L44" s="3">
        <v>0.89583333333333337</v>
      </c>
      <c r="M44" s="3"/>
      <c r="N44" s="3">
        <v>0.89583333333333337</v>
      </c>
      <c r="O44" s="3"/>
      <c r="P44" s="3"/>
      <c r="Q44" s="3"/>
      <c r="R44" s="3">
        <v>0.89583333333333337</v>
      </c>
      <c r="S44" s="3"/>
      <c r="T44" s="3">
        <v>0.89583333333333337</v>
      </c>
      <c r="U44" s="3"/>
      <c r="V44" s="3"/>
      <c r="W44" s="3"/>
      <c r="X44" s="3"/>
      <c r="Y44" s="3">
        <v>0.89583333333333337</v>
      </c>
      <c r="Z44" s="3"/>
      <c r="AA44" s="3">
        <v>0.89583333333333337</v>
      </c>
      <c r="AB44" s="3"/>
      <c r="AC44" s="19"/>
    </row>
    <row r="45" spans="1:29" s="49" customFormat="1" ht="15.75" x14ac:dyDescent="0.25">
      <c r="A45" s="98" t="s">
        <v>8</v>
      </c>
      <c r="B45" s="34"/>
      <c r="C45" s="5"/>
      <c r="D45" s="5"/>
      <c r="E45" s="5" t="s">
        <v>64</v>
      </c>
      <c r="F45" s="5"/>
      <c r="G45" s="5" t="s">
        <v>64</v>
      </c>
      <c r="H45" s="5"/>
      <c r="I45" s="5"/>
      <c r="J45" s="5"/>
      <c r="K45" s="5" t="s">
        <v>64</v>
      </c>
      <c r="L45" s="5"/>
      <c r="M45" s="5" t="s">
        <v>64</v>
      </c>
      <c r="N45" s="5"/>
      <c r="O45" s="5" t="s">
        <v>64</v>
      </c>
      <c r="P45" s="5"/>
      <c r="Q45" s="5"/>
      <c r="R45" s="5"/>
      <c r="S45" s="5" t="s">
        <v>64</v>
      </c>
      <c r="T45" s="4"/>
      <c r="U45" s="5" t="s">
        <v>64</v>
      </c>
      <c r="V45" s="5"/>
      <c r="W45" s="5"/>
      <c r="X45" s="5"/>
      <c r="Y45" s="5"/>
      <c r="Z45" s="5" t="s">
        <v>64</v>
      </c>
      <c r="AA45" s="5"/>
      <c r="AB45" s="5" t="s">
        <v>64</v>
      </c>
      <c r="AC45" s="70"/>
    </row>
    <row r="46" spans="1:29" s="49" customFormat="1" ht="15.75" x14ac:dyDescent="0.25">
      <c r="A46" s="98" t="s">
        <v>38</v>
      </c>
      <c r="B46" s="10"/>
      <c r="C46" s="1"/>
      <c r="D46" s="1"/>
      <c r="E46" s="1">
        <v>0.25694444444444448</v>
      </c>
      <c r="F46" s="1"/>
      <c r="G46" s="1">
        <v>0.25694444444444448</v>
      </c>
      <c r="H46" s="1"/>
      <c r="I46" s="1"/>
      <c r="J46" s="1"/>
      <c r="K46" s="1">
        <v>0.25694444444444448</v>
      </c>
      <c r="L46" s="1"/>
      <c r="M46" s="1">
        <v>0.25694444444444448</v>
      </c>
      <c r="N46" s="1"/>
      <c r="O46" s="1">
        <v>0.25694444444444448</v>
      </c>
      <c r="P46" s="1"/>
      <c r="Q46" s="1"/>
      <c r="R46" s="1"/>
      <c r="S46" s="1">
        <v>0.25694444444444448</v>
      </c>
      <c r="T46" s="1"/>
      <c r="U46" s="1">
        <v>0.25694444444444448</v>
      </c>
      <c r="V46" s="1"/>
      <c r="W46" s="1"/>
      <c r="X46" s="1"/>
      <c r="Y46" s="1"/>
      <c r="Z46" s="1">
        <v>0.25694444444444448</v>
      </c>
      <c r="AA46" s="1"/>
      <c r="AB46" s="1">
        <v>0.25694444444444448</v>
      </c>
      <c r="AC46" s="21"/>
    </row>
    <row r="47" spans="1:29" s="49" customFormat="1" ht="15.75" x14ac:dyDescent="0.25">
      <c r="A47" s="100" t="s">
        <v>18</v>
      </c>
      <c r="B47" s="10"/>
      <c r="C47" s="1"/>
      <c r="D47" s="1"/>
      <c r="E47" s="1">
        <v>0.88402777777777775</v>
      </c>
      <c r="F47" s="1"/>
      <c r="G47" s="1">
        <v>0.88402777777777775</v>
      </c>
      <c r="H47" s="1"/>
      <c r="I47" s="1"/>
      <c r="J47" s="1"/>
      <c r="K47" s="1">
        <v>0.88402777777777775</v>
      </c>
      <c r="L47" s="1"/>
      <c r="M47" s="1">
        <v>0.88402777777777775</v>
      </c>
      <c r="N47" s="1"/>
      <c r="O47" s="1">
        <v>0.88402777777777775</v>
      </c>
      <c r="P47" s="1"/>
      <c r="Q47" s="1"/>
      <c r="R47" s="1"/>
      <c r="S47" s="1">
        <v>0.88402777777777775</v>
      </c>
      <c r="T47" s="1"/>
      <c r="U47" s="1">
        <v>0.88402777777777775</v>
      </c>
      <c r="V47" s="1"/>
      <c r="W47" s="1"/>
      <c r="X47" s="1"/>
      <c r="Y47" s="1"/>
      <c r="Z47" s="1">
        <v>0.88402777777777775</v>
      </c>
      <c r="AA47" s="1"/>
      <c r="AB47" s="1">
        <v>0.88402777777777775</v>
      </c>
      <c r="AC47" s="21"/>
    </row>
    <row r="48" spans="1:29" s="45" customFormat="1" ht="15.75" x14ac:dyDescent="0.25">
      <c r="A48" s="99" t="s">
        <v>40</v>
      </c>
      <c r="B48" s="1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22"/>
    </row>
    <row r="49" spans="1:29" s="45" customFormat="1" ht="16.5" thickBot="1" x14ac:dyDescent="0.3">
      <c r="A49" s="102" t="s">
        <v>39</v>
      </c>
      <c r="B49" s="29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7"/>
    </row>
    <row r="50" spans="1:29" s="46" customFormat="1" ht="16.5" customHeight="1" x14ac:dyDescent="0.25">
      <c r="A50" s="96" t="s">
        <v>7</v>
      </c>
      <c r="B50" s="23">
        <v>6942</v>
      </c>
      <c r="C50" s="17">
        <v>6942</v>
      </c>
      <c r="D50" s="17">
        <v>6942</v>
      </c>
      <c r="E50" s="17">
        <v>6942</v>
      </c>
      <c r="F50" s="17">
        <v>6942</v>
      </c>
      <c r="G50" s="17">
        <v>6942</v>
      </c>
      <c r="H50" s="17">
        <v>6942</v>
      </c>
      <c r="I50" s="17">
        <v>6942</v>
      </c>
      <c r="J50" s="17">
        <v>6942</v>
      </c>
      <c r="K50" s="17">
        <v>6942</v>
      </c>
      <c r="L50" s="17">
        <v>6942</v>
      </c>
      <c r="M50" s="17">
        <v>6942</v>
      </c>
      <c r="N50" s="17">
        <v>6942</v>
      </c>
      <c r="O50" s="17">
        <v>6942</v>
      </c>
      <c r="P50" s="17">
        <v>6942</v>
      </c>
      <c r="Q50" s="17">
        <v>6942</v>
      </c>
      <c r="R50" s="17">
        <v>6942</v>
      </c>
      <c r="S50" s="17">
        <v>6942</v>
      </c>
      <c r="T50" s="17">
        <v>6942</v>
      </c>
      <c r="U50" s="17">
        <v>6942</v>
      </c>
      <c r="V50" s="17">
        <v>6942</v>
      </c>
      <c r="W50" s="17">
        <v>6942</v>
      </c>
      <c r="X50" s="17">
        <v>6942</v>
      </c>
      <c r="Y50" s="17">
        <v>6942</v>
      </c>
      <c r="Z50" s="17">
        <v>6942</v>
      </c>
      <c r="AA50" s="17">
        <v>6942</v>
      </c>
      <c r="AB50" s="17">
        <v>6942</v>
      </c>
      <c r="AC50" s="18">
        <v>6942</v>
      </c>
    </row>
    <row r="51" spans="1:29" s="46" customFormat="1" ht="16.5" customHeight="1" x14ac:dyDescent="0.25">
      <c r="A51" s="97" t="s">
        <v>24</v>
      </c>
      <c r="B51" s="9">
        <v>0.5</v>
      </c>
      <c r="C51" s="3">
        <v>0.5</v>
      </c>
      <c r="D51" s="3">
        <v>0.5</v>
      </c>
      <c r="E51" s="3">
        <v>0.5</v>
      </c>
      <c r="F51" s="3">
        <v>0.5</v>
      </c>
      <c r="G51" s="3">
        <v>0.5</v>
      </c>
      <c r="H51" s="3">
        <v>0.5</v>
      </c>
      <c r="I51" s="3">
        <v>0.5</v>
      </c>
      <c r="J51" s="3">
        <v>0.5</v>
      </c>
      <c r="K51" s="3">
        <v>0.5</v>
      </c>
      <c r="L51" s="3">
        <v>0.5</v>
      </c>
      <c r="M51" s="3">
        <v>0.5</v>
      </c>
      <c r="N51" s="3">
        <v>0.5</v>
      </c>
      <c r="O51" s="3">
        <v>0.5</v>
      </c>
      <c r="P51" s="3">
        <v>0.5</v>
      </c>
      <c r="Q51" s="3">
        <v>0.5</v>
      </c>
      <c r="R51" s="3">
        <v>0.5</v>
      </c>
      <c r="S51" s="3">
        <v>0.5</v>
      </c>
      <c r="T51" s="3">
        <v>0.5</v>
      </c>
      <c r="U51" s="3">
        <v>0.5</v>
      </c>
      <c r="V51" s="3">
        <v>0.5</v>
      </c>
      <c r="W51" s="3">
        <v>0.5</v>
      </c>
      <c r="X51" s="3">
        <v>0.5</v>
      </c>
      <c r="Y51" s="3">
        <v>0.5</v>
      </c>
      <c r="Z51" s="3">
        <v>0.5</v>
      </c>
      <c r="AA51" s="3">
        <v>0.5</v>
      </c>
      <c r="AB51" s="3">
        <v>0.5</v>
      </c>
      <c r="AC51" s="19">
        <v>0.5</v>
      </c>
    </row>
    <row r="52" spans="1:29" s="46" customFormat="1" ht="15.75" x14ac:dyDescent="0.25">
      <c r="A52" s="97" t="s">
        <v>23</v>
      </c>
      <c r="B52" s="9">
        <v>0.82986111111111116</v>
      </c>
      <c r="C52" s="3">
        <v>0.82986111111111116</v>
      </c>
      <c r="D52" s="3">
        <v>0.82986111111111116</v>
      </c>
      <c r="E52" s="3">
        <v>0.82986111111111116</v>
      </c>
      <c r="F52" s="3">
        <v>0.82986111111111116</v>
      </c>
      <c r="G52" s="3">
        <v>0.82986111111111116</v>
      </c>
      <c r="H52" s="3">
        <v>0.82986111111111116</v>
      </c>
      <c r="I52" s="3">
        <v>0.82986111111111116</v>
      </c>
      <c r="J52" s="3">
        <v>0.82986111111111116</v>
      </c>
      <c r="K52" s="3">
        <v>0.82986111111111116</v>
      </c>
      <c r="L52" s="3">
        <v>0.82986111111111116</v>
      </c>
      <c r="M52" s="3">
        <v>0.82986111111111116</v>
      </c>
      <c r="N52" s="3">
        <v>0.82986111111111116</v>
      </c>
      <c r="O52" s="3">
        <v>0.82986111111111116</v>
      </c>
      <c r="P52" s="3">
        <v>0.82986111111111116</v>
      </c>
      <c r="Q52" s="3">
        <v>0.82986111111111116</v>
      </c>
      <c r="R52" s="3">
        <v>0.82986111111111116</v>
      </c>
      <c r="S52" s="3">
        <v>0.82986111111111116</v>
      </c>
      <c r="T52" s="3">
        <v>0.82986111111111116</v>
      </c>
      <c r="U52" s="3">
        <v>0.82986111111111116</v>
      </c>
      <c r="V52" s="3">
        <v>0.82986111111111116</v>
      </c>
      <c r="W52" s="3">
        <v>0.82986111111111116</v>
      </c>
      <c r="X52" s="3">
        <v>0.82986111111111116</v>
      </c>
      <c r="Y52" s="3">
        <v>0.82986111111111116</v>
      </c>
      <c r="Z52" s="3">
        <v>0.82986111111111116</v>
      </c>
      <c r="AA52" s="3">
        <v>0.82986111111111116</v>
      </c>
      <c r="AB52" s="3">
        <v>0.82986111111111116</v>
      </c>
      <c r="AC52" s="19">
        <v>0.82986111111111116</v>
      </c>
    </row>
    <row r="53" spans="1:29" s="46" customFormat="1" ht="15.75" x14ac:dyDescent="0.25">
      <c r="A53" s="98" t="s">
        <v>8</v>
      </c>
      <c r="B53" s="71">
        <v>6941</v>
      </c>
      <c r="C53" s="6">
        <v>6941</v>
      </c>
      <c r="D53" s="6">
        <v>6941</v>
      </c>
      <c r="E53" s="6">
        <v>6941</v>
      </c>
      <c r="F53" s="6">
        <v>6941</v>
      </c>
      <c r="G53" s="6">
        <v>6941</v>
      </c>
      <c r="H53" s="6">
        <v>6941</v>
      </c>
      <c r="I53" s="6">
        <v>6941</v>
      </c>
      <c r="J53" s="6">
        <v>6941</v>
      </c>
      <c r="K53" s="6">
        <v>6941</v>
      </c>
      <c r="L53" s="6">
        <v>6941</v>
      </c>
      <c r="M53" s="6">
        <v>6941</v>
      </c>
      <c r="N53" s="6">
        <v>6941</v>
      </c>
      <c r="O53" s="6">
        <v>6941</v>
      </c>
      <c r="P53" s="6">
        <v>6941</v>
      </c>
      <c r="Q53" s="6">
        <v>6941</v>
      </c>
      <c r="R53" s="6">
        <v>6941</v>
      </c>
      <c r="S53" s="6">
        <v>6941</v>
      </c>
      <c r="T53" s="6">
        <v>6941</v>
      </c>
      <c r="U53" s="6">
        <v>6941</v>
      </c>
      <c r="V53" s="6">
        <v>6941</v>
      </c>
      <c r="W53" s="6">
        <v>6941</v>
      </c>
      <c r="X53" s="6">
        <v>6941</v>
      </c>
      <c r="Y53" s="6">
        <v>6941</v>
      </c>
      <c r="Z53" s="6">
        <v>6941</v>
      </c>
      <c r="AA53" s="6">
        <v>6941</v>
      </c>
      <c r="AB53" s="6">
        <v>6941</v>
      </c>
      <c r="AC53" s="72">
        <v>6941</v>
      </c>
    </row>
    <row r="54" spans="1:29" s="46" customFormat="1" ht="15.75" x14ac:dyDescent="0.25">
      <c r="A54" s="98" t="s">
        <v>28</v>
      </c>
      <c r="B54" s="14">
        <v>0.11805555555555557</v>
      </c>
      <c r="C54" s="2">
        <v>0.11805555555555557</v>
      </c>
      <c r="D54" s="2">
        <v>0.11805555555555557</v>
      </c>
      <c r="E54" s="2">
        <v>0.11805555555555557</v>
      </c>
      <c r="F54" s="2">
        <v>0.11805555555555557</v>
      </c>
      <c r="G54" s="2">
        <v>0.11805555555555557</v>
      </c>
      <c r="H54" s="2">
        <v>0.11805555555555557</v>
      </c>
      <c r="I54" s="2">
        <v>0.11805555555555557</v>
      </c>
      <c r="J54" s="2">
        <v>0.11805555555555557</v>
      </c>
      <c r="K54" s="2">
        <v>0.11805555555555557</v>
      </c>
      <c r="L54" s="2">
        <v>0.11805555555555557</v>
      </c>
      <c r="M54" s="2">
        <v>0.11805555555555557</v>
      </c>
      <c r="N54" s="2">
        <v>0.11805555555555557</v>
      </c>
      <c r="O54" s="2">
        <v>0.11805555555555557</v>
      </c>
      <c r="P54" s="2">
        <v>0.11805555555555557</v>
      </c>
      <c r="Q54" s="2">
        <v>0.11805555555555557</v>
      </c>
      <c r="R54" s="2">
        <v>0.11805555555555557</v>
      </c>
      <c r="S54" s="2">
        <v>0.11805555555555557</v>
      </c>
      <c r="T54" s="2">
        <v>0.11805555555555557</v>
      </c>
      <c r="U54" s="2">
        <v>0.11805555555555557</v>
      </c>
      <c r="V54" s="2">
        <v>0.11805555555555557</v>
      </c>
      <c r="W54" s="2">
        <v>0.11805555555555557</v>
      </c>
      <c r="X54" s="2">
        <v>0.11805555555555557</v>
      </c>
      <c r="Y54" s="2">
        <v>0.11805555555555557</v>
      </c>
      <c r="Z54" s="2">
        <v>0.11805555555555557</v>
      </c>
      <c r="AA54" s="2">
        <v>0.11805555555555557</v>
      </c>
      <c r="AB54" s="2">
        <v>0.11805555555555557</v>
      </c>
      <c r="AC54" s="73">
        <v>0.11805555555555557</v>
      </c>
    </row>
    <row r="55" spans="1:29" s="46" customFormat="1" ht="15.75" x14ac:dyDescent="0.25">
      <c r="A55" s="98" t="s">
        <v>25</v>
      </c>
      <c r="B55" s="14">
        <v>0.43055555555555558</v>
      </c>
      <c r="C55" s="2">
        <v>0.43055555555555558</v>
      </c>
      <c r="D55" s="2">
        <v>0.43055555555555558</v>
      </c>
      <c r="E55" s="2">
        <v>0.43055555555555558</v>
      </c>
      <c r="F55" s="2">
        <v>0.43055555555555558</v>
      </c>
      <c r="G55" s="2">
        <v>0.43055555555555558</v>
      </c>
      <c r="H55" s="2">
        <v>0.43055555555555558</v>
      </c>
      <c r="I55" s="2">
        <v>0.43055555555555558</v>
      </c>
      <c r="J55" s="2">
        <v>0.43055555555555558</v>
      </c>
      <c r="K55" s="2">
        <v>0.43055555555555558</v>
      </c>
      <c r="L55" s="2">
        <v>0.43055555555555558</v>
      </c>
      <c r="M55" s="2">
        <v>0.43055555555555558</v>
      </c>
      <c r="N55" s="2">
        <v>0.43055555555555558</v>
      </c>
      <c r="O55" s="2">
        <v>0.43055555555555558</v>
      </c>
      <c r="P55" s="2">
        <v>0.43055555555555558</v>
      </c>
      <c r="Q55" s="2">
        <v>0.43055555555555558</v>
      </c>
      <c r="R55" s="2">
        <v>0.43055555555555558</v>
      </c>
      <c r="S55" s="2">
        <v>0.43055555555555558</v>
      </c>
      <c r="T55" s="2">
        <v>0.43055555555555558</v>
      </c>
      <c r="U55" s="2">
        <v>0.43055555555555558</v>
      </c>
      <c r="V55" s="2">
        <v>0.43055555555555558</v>
      </c>
      <c r="W55" s="2">
        <v>0.43055555555555558</v>
      </c>
      <c r="X55" s="2">
        <v>0.43055555555555558</v>
      </c>
      <c r="Y55" s="2">
        <v>0.43055555555555558</v>
      </c>
      <c r="Z55" s="2">
        <v>0.43055555555555558</v>
      </c>
      <c r="AA55" s="2">
        <v>0.43055555555555558</v>
      </c>
      <c r="AB55" s="2">
        <v>0.43055555555555558</v>
      </c>
      <c r="AC55" s="73">
        <v>0.43055555555555558</v>
      </c>
    </row>
    <row r="56" spans="1:29" s="46" customFormat="1" ht="15.75" x14ac:dyDescent="0.25">
      <c r="A56" s="99" t="s">
        <v>29</v>
      </c>
      <c r="B56" s="15">
        <f>B51-B55</f>
        <v>6.944444444444442E-2</v>
      </c>
      <c r="C56" s="8">
        <f t="shared" ref="C56" si="39">C51-C55</f>
        <v>6.944444444444442E-2</v>
      </c>
      <c r="D56" s="8">
        <f t="shared" ref="D56:U56" si="40">D51-D55</f>
        <v>6.944444444444442E-2</v>
      </c>
      <c r="E56" s="8">
        <f t="shared" si="40"/>
        <v>6.944444444444442E-2</v>
      </c>
      <c r="F56" s="8">
        <f t="shared" si="40"/>
        <v>6.944444444444442E-2</v>
      </c>
      <c r="G56" s="8">
        <f t="shared" si="40"/>
        <v>6.944444444444442E-2</v>
      </c>
      <c r="H56" s="8">
        <f t="shared" si="40"/>
        <v>6.944444444444442E-2</v>
      </c>
      <c r="I56" s="8">
        <f t="shared" si="40"/>
        <v>6.944444444444442E-2</v>
      </c>
      <c r="J56" s="8">
        <f t="shared" si="40"/>
        <v>6.944444444444442E-2</v>
      </c>
      <c r="K56" s="8">
        <f t="shared" si="40"/>
        <v>6.944444444444442E-2</v>
      </c>
      <c r="L56" s="8">
        <f t="shared" si="40"/>
        <v>6.944444444444442E-2</v>
      </c>
      <c r="M56" s="8">
        <f t="shared" si="40"/>
        <v>6.944444444444442E-2</v>
      </c>
      <c r="N56" s="8">
        <f t="shared" si="40"/>
        <v>6.944444444444442E-2</v>
      </c>
      <c r="O56" s="8">
        <f t="shared" si="40"/>
        <v>6.944444444444442E-2</v>
      </c>
      <c r="P56" s="8">
        <f t="shared" si="40"/>
        <v>6.944444444444442E-2</v>
      </c>
      <c r="Q56" s="8">
        <f t="shared" si="40"/>
        <v>6.944444444444442E-2</v>
      </c>
      <c r="R56" s="8">
        <f t="shared" si="40"/>
        <v>6.944444444444442E-2</v>
      </c>
      <c r="S56" s="8">
        <f t="shared" si="40"/>
        <v>6.944444444444442E-2</v>
      </c>
      <c r="T56" s="8">
        <f t="shared" si="40"/>
        <v>6.944444444444442E-2</v>
      </c>
      <c r="U56" s="8">
        <f t="shared" si="40"/>
        <v>6.944444444444442E-2</v>
      </c>
      <c r="V56" s="8">
        <f t="shared" ref="V56:AC56" si="41">V51-V55</f>
        <v>6.944444444444442E-2</v>
      </c>
      <c r="W56" s="8">
        <f t="shared" si="41"/>
        <v>6.944444444444442E-2</v>
      </c>
      <c r="X56" s="8">
        <f t="shared" si="41"/>
        <v>6.944444444444442E-2</v>
      </c>
      <c r="Y56" s="8">
        <f t="shared" si="41"/>
        <v>6.944444444444442E-2</v>
      </c>
      <c r="Z56" s="8">
        <f t="shared" si="41"/>
        <v>6.944444444444442E-2</v>
      </c>
      <c r="AA56" s="8">
        <f t="shared" si="41"/>
        <v>6.944444444444442E-2</v>
      </c>
      <c r="AB56" s="8">
        <f t="shared" si="41"/>
        <v>6.944444444444442E-2</v>
      </c>
      <c r="AC56" s="22">
        <f t="shared" si="41"/>
        <v>6.944444444444442E-2</v>
      </c>
    </row>
    <row r="57" spans="1:29" s="45" customFormat="1" ht="16.5" thickBot="1" x14ac:dyDescent="0.3">
      <c r="A57" s="101" t="s">
        <v>27</v>
      </c>
      <c r="B57" s="29">
        <f t="shared" ref="B57:C57" si="42">B54-B52+24</f>
        <v>23.288194444444443</v>
      </c>
      <c r="C57" s="26">
        <f t="shared" si="42"/>
        <v>23.288194444444443</v>
      </c>
      <c r="D57" s="26">
        <f t="shared" ref="D57:U57" si="43">D54-D52+24</f>
        <v>23.288194444444443</v>
      </c>
      <c r="E57" s="26">
        <f t="shared" si="43"/>
        <v>23.288194444444443</v>
      </c>
      <c r="F57" s="26">
        <f t="shared" si="43"/>
        <v>23.288194444444443</v>
      </c>
      <c r="G57" s="26">
        <f t="shared" si="43"/>
        <v>23.288194444444443</v>
      </c>
      <c r="H57" s="26">
        <f t="shared" si="43"/>
        <v>23.288194444444443</v>
      </c>
      <c r="I57" s="26">
        <f t="shared" si="43"/>
        <v>23.288194444444443</v>
      </c>
      <c r="J57" s="26">
        <f t="shared" si="43"/>
        <v>23.288194444444443</v>
      </c>
      <c r="K57" s="26">
        <f t="shared" si="43"/>
        <v>23.288194444444443</v>
      </c>
      <c r="L57" s="26">
        <f t="shared" si="43"/>
        <v>23.288194444444443</v>
      </c>
      <c r="M57" s="26">
        <f t="shared" si="43"/>
        <v>23.288194444444443</v>
      </c>
      <c r="N57" s="26">
        <f t="shared" si="43"/>
        <v>23.288194444444443</v>
      </c>
      <c r="O57" s="26">
        <f t="shared" si="43"/>
        <v>23.288194444444443</v>
      </c>
      <c r="P57" s="26">
        <f t="shared" si="43"/>
        <v>23.288194444444443</v>
      </c>
      <c r="Q57" s="26">
        <f t="shared" si="43"/>
        <v>23.288194444444443</v>
      </c>
      <c r="R57" s="26">
        <f t="shared" si="43"/>
        <v>23.288194444444443</v>
      </c>
      <c r="S57" s="26">
        <f t="shared" si="43"/>
        <v>23.288194444444443</v>
      </c>
      <c r="T57" s="26">
        <f t="shared" si="43"/>
        <v>23.288194444444443</v>
      </c>
      <c r="U57" s="26">
        <f t="shared" si="43"/>
        <v>23.288194444444443</v>
      </c>
      <c r="V57" s="26">
        <f t="shared" ref="V57:AC57" si="44">V54-V52+24</f>
        <v>23.288194444444443</v>
      </c>
      <c r="W57" s="26">
        <f t="shared" si="44"/>
        <v>23.288194444444443</v>
      </c>
      <c r="X57" s="26">
        <f t="shared" si="44"/>
        <v>23.288194444444443</v>
      </c>
      <c r="Y57" s="26">
        <f t="shared" si="44"/>
        <v>23.288194444444443</v>
      </c>
      <c r="Z57" s="26">
        <f t="shared" si="44"/>
        <v>23.288194444444443</v>
      </c>
      <c r="AA57" s="26">
        <f t="shared" si="44"/>
        <v>23.288194444444443</v>
      </c>
      <c r="AB57" s="26">
        <f t="shared" si="44"/>
        <v>23.288194444444443</v>
      </c>
      <c r="AC57" s="27">
        <f t="shared" si="44"/>
        <v>23.288194444444443</v>
      </c>
    </row>
    <row r="58" spans="1:29" s="46" customFormat="1" ht="15.75" x14ac:dyDescent="0.25">
      <c r="A58" s="96" t="s">
        <v>7</v>
      </c>
      <c r="B58" s="74"/>
      <c r="C58" s="28">
        <v>6989</v>
      </c>
      <c r="D58" s="28">
        <v>6989</v>
      </c>
      <c r="E58" s="28">
        <v>6989</v>
      </c>
      <c r="F58" s="28">
        <v>6989</v>
      </c>
      <c r="G58" s="28">
        <v>6989</v>
      </c>
      <c r="H58" s="28"/>
      <c r="I58" s="28"/>
      <c r="J58" s="28">
        <v>6989</v>
      </c>
      <c r="K58" s="28">
        <v>6989</v>
      </c>
      <c r="L58" s="28">
        <v>6989</v>
      </c>
      <c r="M58" s="28">
        <v>6989</v>
      </c>
      <c r="N58" s="28">
        <v>6989</v>
      </c>
      <c r="O58" s="28"/>
      <c r="P58" s="28"/>
      <c r="Q58" s="28">
        <v>6989</v>
      </c>
      <c r="R58" s="28">
        <v>6989</v>
      </c>
      <c r="S58" s="28">
        <v>6989</v>
      </c>
      <c r="T58" s="28"/>
      <c r="U58" s="28"/>
      <c r="V58" s="28"/>
      <c r="W58" s="28"/>
      <c r="X58" s="28">
        <v>6989</v>
      </c>
      <c r="Y58" s="28">
        <v>6989</v>
      </c>
      <c r="Z58" s="28"/>
      <c r="AA58" s="28">
        <v>6989</v>
      </c>
      <c r="AB58" s="28">
        <v>6989</v>
      </c>
      <c r="AC58" s="75"/>
    </row>
    <row r="59" spans="1:29" s="46" customFormat="1" ht="15.75" x14ac:dyDescent="0.25">
      <c r="A59" s="97" t="s">
        <v>22</v>
      </c>
      <c r="B59" s="9"/>
      <c r="C59" s="3">
        <v>0.27777777777777779</v>
      </c>
      <c r="D59" s="3">
        <v>0.27777777777777779</v>
      </c>
      <c r="E59" s="3">
        <v>0.27777777777777779</v>
      </c>
      <c r="F59" s="3">
        <v>0.27777777777777779</v>
      </c>
      <c r="G59" s="3">
        <v>0.27777777777777779</v>
      </c>
      <c r="H59" s="3"/>
      <c r="I59" s="3"/>
      <c r="J59" s="3">
        <v>0.27777777777777779</v>
      </c>
      <c r="K59" s="3">
        <v>0.27777777777777779</v>
      </c>
      <c r="L59" s="3">
        <v>0.27777777777777779</v>
      </c>
      <c r="M59" s="3">
        <v>0.27777777777777779</v>
      </c>
      <c r="N59" s="3">
        <v>0.27777777777777779</v>
      </c>
      <c r="O59" s="3"/>
      <c r="P59" s="3"/>
      <c r="Q59" s="3">
        <v>0.27777777777777779</v>
      </c>
      <c r="R59" s="3">
        <v>0.27777777777777779</v>
      </c>
      <c r="S59" s="3">
        <v>0.27777777777777779</v>
      </c>
      <c r="T59" s="3"/>
      <c r="U59" s="3"/>
      <c r="V59" s="3"/>
      <c r="W59" s="3"/>
      <c r="X59" s="3">
        <v>0.27777777777777779</v>
      </c>
      <c r="Y59" s="3">
        <v>0.27777777777777779</v>
      </c>
      <c r="Z59" s="3"/>
      <c r="AA59" s="3">
        <v>0.27777777777777779</v>
      </c>
      <c r="AB59" s="3">
        <v>0.27777777777777779</v>
      </c>
      <c r="AC59" s="19"/>
    </row>
    <row r="60" spans="1:29" s="46" customFormat="1" ht="15.75" x14ac:dyDescent="0.25">
      <c r="A60" s="97" t="s">
        <v>19</v>
      </c>
      <c r="B60" s="9"/>
      <c r="C60" s="3">
        <v>0.47222222222222227</v>
      </c>
      <c r="D60" s="3">
        <v>0.47222222222222227</v>
      </c>
      <c r="E60" s="3">
        <v>0.47222222222222227</v>
      </c>
      <c r="F60" s="3">
        <v>0.47222222222222227</v>
      </c>
      <c r="G60" s="3">
        <v>0.47222222222222227</v>
      </c>
      <c r="H60" s="3"/>
      <c r="I60" s="3"/>
      <c r="J60" s="3">
        <v>0.47222222222222227</v>
      </c>
      <c r="K60" s="3">
        <v>0.47222222222222227</v>
      </c>
      <c r="L60" s="3">
        <v>0.47222222222222227</v>
      </c>
      <c r="M60" s="3">
        <v>0.47222222222222227</v>
      </c>
      <c r="N60" s="3">
        <v>0.47222222222222227</v>
      </c>
      <c r="O60" s="3"/>
      <c r="P60" s="3"/>
      <c r="Q60" s="3">
        <v>0.47222222222222227</v>
      </c>
      <c r="R60" s="3">
        <v>0.47222222222222227</v>
      </c>
      <c r="S60" s="3">
        <v>0.47222222222222227</v>
      </c>
      <c r="T60" s="3"/>
      <c r="U60" s="3"/>
      <c r="V60" s="3"/>
      <c r="W60" s="3"/>
      <c r="X60" s="3">
        <v>0.47222222222222227</v>
      </c>
      <c r="Y60" s="3">
        <v>0.47222222222222227</v>
      </c>
      <c r="Z60" s="3"/>
      <c r="AA60" s="3">
        <v>0.47222222222222227</v>
      </c>
      <c r="AB60" s="3">
        <v>0.47222222222222227</v>
      </c>
      <c r="AC60" s="19"/>
    </row>
    <row r="61" spans="1:29" s="49" customFormat="1" ht="15.75" x14ac:dyDescent="0.25">
      <c r="A61" s="98" t="s">
        <v>8</v>
      </c>
      <c r="B61" s="11"/>
      <c r="C61" s="4">
        <v>6990</v>
      </c>
      <c r="D61" s="4">
        <v>6990</v>
      </c>
      <c r="E61" s="4">
        <v>6990</v>
      </c>
      <c r="F61" s="4">
        <v>6990</v>
      </c>
      <c r="G61" s="4">
        <v>6990</v>
      </c>
      <c r="H61" s="4"/>
      <c r="I61" s="4"/>
      <c r="J61" s="4">
        <v>6990</v>
      </c>
      <c r="K61" s="4">
        <v>6990</v>
      </c>
      <c r="L61" s="4">
        <v>6990</v>
      </c>
      <c r="M61" s="4">
        <v>6990</v>
      </c>
      <c r="N61" s="4">
        <v>6990</v>
      </c>
      <c r="O61" s="4"/>
      <c r="P61" s="4"/>
      <c r="Q61" s="4">
        <v>6990</v>
      </c>
      <c r="R61" s="4">
        <v>6990</v>
      </c>
      <c r="S61" s="4">
        <v>6990</v>
      </c>
      <c r="T61" s="4"/>
      <c r="U61" s="4"/>
      <c r="V61" s="4"/>
      <c r="W61" s="4"/>
      <c r="X61" s="4">
        <v>6990</v>
      </c>
      <c r="Y61" s="4">
        <v>6990</v>
      </c>
      <c r="Z61" s="4"/>
      <c r="AA61" s="4">
        <v>6990</v>
      </c>
      <c r="AB61" s="4">
        <v>6990</v>
      </c>
      <c r="AC61" s="20"/>
    </row>
    <row r="62" spans="1:29" s="49" customFormat="1" ht="15.75" x14ac:dyDescent="0.25">
      <c r="A62" s="98" t="s">
        <v>26</v>
      </c>
      <c r="B62" s="10"/>
      <c r="C62" s="1">
        <v>0.60069444444444442</v>
      </c>
      <c r="D62" s="1">
        <v>0.60069444444444442</v>
      </c>
      <c r="E62" s="1">
        <v>0.60069444444444442</v>
      </c>
      <c r="F62" s="1">
        <v>0.60069444444444442</v>
      </c>
      <c r="G62" s="1">
        <v>0.60069444444444442</v>
      </c>
      <c r="H62" s="1"/>
      <c r="I62" s="1"/>
      <c r="J62" s="1">
        <v>0.60069444444444442</v>
      </c>
      <c r="K62" s="1">
        <v>0.60069444444444442</v>
      </c>
      <c r="L62" s="1">
        <v>0.60069444444444442</v>
      </c>
      <c r="M62" s="1">
        <v>0.60069444444444442</v>
      </c>
      <c r="N62" s="1">
        <v>0.60069444444444442</v>
      </c>
      <c r="O62" s="1"/>
      <c r="P62" s="1"/>
      <c r="Q62" s="1">
        <v>0.60069444444444442</v>
      </c>
      <c r="R62" s="1">
        <v>0.60069444444444442</v>
      </c>
      <c r="S62" s="1">
        <v>0.60069444444444442</v>
      </c>
      <c r="T62" s="1"/>
      <c r="U62" s="1"/>
      <c r="V62" s="1"/>
      <c r="W62" s="1"/>
      <c r="X62" s="1">
        <v>0.60069444444444442</v>
      </c>
      <c r="Y62" s="1">
        <v>0.60069444444444442</v>
      </c>
      <c r="Z62" s="1"/>
      <c r="AA62" s="1">
        <v>0.60069444444444442</v>
      </c>
      <c r="AB62" s="1">
        <v>0.60069444444444442</v>
      </c>
      <c r="AC62" s="21"/>
    </row>
    <row r="63" spans="1:29" s="49" customFormat="1" ht="15.75" x14ac:dyDescent="0.25">
      <c r="A63" s="97" t="s">
        <v>20</v>
      </c>
      <c r="B63" s="10"/>
      <c r="C63" s="1">
        <v>0.78125</v>
      </c>
      <c r="D63" s="1">
        <v>0.78125</v>
      </c>
      <c r="E63" s="1">
        <v>0.78125</v>
      </c>
      <c r="F63" s="1">
        <v>0.78125</v>
      </c>
      <c r="G63" s="1">
        <v>0.78125</v>
      </c>
      <c r="H63" s="1"/>
      <c r="I63" s="1"/>
      <c r="J63" s="1">
        <v>0.78125</v>
      </c>
      <c r="K63" s="1">
        <v>0.78125</v>
      </c>
      <c r="L63" s="1">
        <v>0.78125</v>
      </c>
      <c r="M63" s="1">
        <v>0.78125</v>
      </c>
      <c r="N63" s="1">
        <v>0.78125</v>
      </c>
      <c r="O63" s="1"/>
      <c r="P63" s="1"/>
      <c r="Q63" s="1">
        <v>0.78125</v>
      </c>
      <c r="R63" s="1">
        <v>0.78125</v>
      </c>
      <c r="S63" s="1">
        <v>0.78125</v>
      </c>
      <c r="T63" s="1"/>
      <c r="U63" s="1"/>
      <c r="V63" s="1"/>
      <c r="W63" s="1"/>
      <c r="X63" s="1">
        <v>0.78125</v>
      </c>
      <c r="Y63" s="1">
        <v>0.78125</v>
      </c>
      <c r="Z63" s="1"/>
      <c r="AA63" s="1">
        <v>0.78125</v>
      </c>
      <c r="AB63" s="1">
        <v>0.78125</v>
      </c>
      <c r="AC63" s="21"/>
    </row>
    <row r="64" spans="1:29" s="45" customFormat="1" ht="16.5" thickBot="1" x14ac:dyDescent="0.3">
      <c r="A64" s="101" t="s">
        <v>21</v>
      </c>
      <c r="B64" s="29"/>
      <c r="C64" s="26"/>
      <c r="D64" s="26"/>
      <c r="E64" s="76">
        <v>0.51041666666666663</v>
      </c>
      <c r="F64" s="76">
        <v>0.51041666666666663</v>
      </c>
      <c r="G64" s="76">
        <v>0.51041666666666663</v>
      </c>
      <c r="H64" s="76"/>
      <c r="I64" s="26"/>
      <c r="J64" s="26"/>
      <c r="K64" s="76">
        <v>2.5104166666666665</v>
      </c>
      <c r="L64" s="76">
        <v>0.51041666666666663</v>
      </c>
      <c r="M64" s="76">
        <v>0.51041666666666663</v>
      </c>
      <c r="N64" s="76">
        <v>0.51041666666666663</v>
      </c>
      <c r="O64" s="76"/>
      <c r="P64" s="26"/>
      <c r="Q64" s="26"/>
      <c r="R64" s="76">
        <v>2.5104166666666665</v>
      </c>
      <c r="S64" s="76">
        <v>0.51041666666666663</v>
      </c>
      <c r="T64" s="26"/>
      <c r="U64" s="26"/>
      <c r="V64" s="26"/>
      <c r="W64" s="26"/>
      <c r="X64" s="76">
        <v>4.510416666666667</v>
      </c>
      <c r="Y64" s="76">
        <v>0.51041666666666663</v>
      </c>
      <c r="Z64" s="26"/>
      <c r="AA64" s="76">
        <v>1.5104166666666667</v>
      </c>
      <c r="AB64" s="76">
        <v>0.51041666666666663</v>
      </c>
      <c r="AC64" s="77"/>
    </row>
    <row r="65" spans="1:31" s="46" customFormat="1" ht="15.75" x14ac:dyDescent="0.25">
      <c r="A65" s="96" t="s">
        <v>7</v>
      </c>
      <c r="B65" s="23"/>
      <c r="C65" s="17">
        <v>6986</v>
      </c>
      <c r="D65" s="17">
        <v>6986</v>
      </c>
      <c r="E65" s="17">
        <v>6986</v>
      </c>
      <c r="F65" s="17">
        <v>6986</v>
      </c>
      <c r="G65" s="17">
        <v>6986</v>
      </c>
      <c r="H65" s="17"/>
      <c r="I65" s="17"/>
      <c r="J65" s="17">
        <v>6986</v>
      </c>
      <c r="K65" s="17">
        <v>6986</v>
      </c>
      <c r="L65" s="17">
        <v>6986</v>
      </c>
      <c r="M65" s="17">
        <v>6986</v>
      </c>
      <c r="N65" s="17">
        <v>6986</v>
      </c>
      <c r="O65" s="17"/>
      <c r="P65" s="17"/>
      <c r="Q65" s="17">
        <v>6986</v>
      </c>
      <c r="R65" s="17">
        <v>6986</v>
      </c>
      <c r="S65" s="17">
        <v>6986</v>
      </c>
      <c r="T65" s="17"/>
      <c r="U65" s="17"/>
      <c r="V65" s="17"/>
      <c r="W65" s="17"/>
      <c r="X65" s="17">
        <v>6986</v>
      </c>
      <c r="Y65" s="17">
        <v>6986</v>
      </c>
      <c r="Z65" s="17"/>
      <c r="AA65" s="17">
        <v>6986</v>
      </c>
      <c r="AB65" s="17">
        <v>6986</v>
      </c>
      <c r="AC65" s="18"/>
    </row>
    <row r="66" spans="1:31" s="46" customFormat="1" ht="15.75" x14ac:dyDescent="0.25">
      <c r="A66" s="97" t="s">
        <v>31</v>
      </c>
      <c r="B66" s="10"/>
      <c r="C66" s="1">
        <v>0.25277777777777777</v>
      </c>
      <c r="D66" s="1">
        <v>0.25277777777777777</v>
      </c>
      <c r="E66" s="1">
        <v>0.25277777777777777</v>
      </c>
      <c r="F66" s="1">
        <v>0.25277777777777777</v>
      </c>
      <c r="G66" s="1">
        <v>0.25277777777777777</v>
      </c>
      <c r="H66" s="1"/>
      <c r="I66" s="1"/>
      <c r="J66" s="1">
        <v>0.25277777777777777</v>
      </c>
      <c r="K66" s="1">
        <v>0.25277777777777777</v>
      </c>
      <c r="L66" s="1">
        <v>0.25277777777777777</v>
      </c>
      <c r="M66" s="1">
        <v>0.25277777777777777</v>
      </c>
      <c r="N66" s="1">
        <v>0.25277777777777777</v>
      </c>
      <c r="O66" s="1"/>
      <c r="P66" s="1"/>
      <c r="Q66" s="1">
        <v>0.25277777777777777</v>
      </c>
      <c r="R66" s="1">
        <v>0.25277777777777777</v>
      </c>
      <c r="S66" s="1">
        <v>0.25277777777777777</v>
      </c>
      <c r="T66" s="1"/>
      <c r="U66" s="1"/>
      <c r="V66" s="1"/>
      <c r="W66" s="1"/>
      <c r="X66" s="1">
        <v>0.25277777777777777</v>
      </c>
      <c r="Y66" s="1">
        <v>0.25277777777777777</v>
      </c>
      <c r="Z66" s="1"/>
      <c r="AA66" s="1">
        <v>0.25277777777777777</v>
      </c>
      <c r="AB66" s="1">
        <v>0.25277777777777777</v>
      </c>
      <c r="AC66" s="21"/>
    </row>
    <row r="67" spans="1:31" s="46" customFormat="1" ht="15.75" x14ac:dyDescent="0.25">
      <c r="A67" s="97" t="s">
        <v>30</v>
      </c>
      <c r="B67" s="9"/>
      <c r="C67" s="3">
        <v>0.49791666666666662</v>
      </c>
      <c r="D67" s="3">
        <v>0.49791666666666662</v>
      </c>
      <c r="E67" s="3">
        <v>0.49791666666666662</v>
      </c>
      <c r="F67" s="3">
        <v>0.49791666666666662</v>
      </c>
      <c r="G67" s="3">
        <v>0.49791666666666662</v>
      </c>
      <c r="H67" s="3"/>
      <c r="I67" s="3"/>
      <c r="J67" s="3">
        <v>0.49791666666666662</v>
      </c>
      <c r="K67" s="3">
        <v>0.49791666666666662</v>
      </c>
      <c r="L67" s="3">
        <v>0.49791666666666662</v>
      </c>
      <c r="M67" s="3">
        <v>0.49791666666666662</v>
      </c>
      <c r="N67" s="3">
        <v>0.49791666666666662</v>
      </c>
      <c r="O67" s="3"/>
      <c r="P67" s="3"/>
      <c r="Q67" s="3">
        <v>0.49791666666666662</v>
      </c>
      <c r="R67" s="3">
        <v>0.49791666666666662</v>
      </c>
      <c r="S67" s="3">
        <v>0.49791666666666662</v>
      </c>
      <c r="T67" s="3"/>
      <c r="U67" s="3"/>
      <c r="V67" s="3"/>
      <c r="W67" s="3"/>
      <c r="X67" s="3">
        <v>0.49791666666666662</v>
      </c>
      <c r="Y67" s="3">
        <v>0.49791666666666662</v>
      </c>
      <c r="Z67" s="3"/>
      <c r="AA67" s="3">
        <v>0.49791666666666662</v>
      </c>
      <c r="AB67" s="3">
        <v>0.49791666666666662</v>
      </c>
      <c r="AC67" s="19"/>
    </row>
    <row r="68" spans="1:31" s="49" customFormat="1" ht="15.75" x14ac:dyDescent="0.25">
      <c r="A68" s="98" t="s">
        <v>8</v>
      </c>
      <c r="B68" s="11"/>
      <c r="C68" s="4">
        <v>6985</v>
      </c>
      <c r="D68" s="4">
        <v>6985</v>
      </c>
      <c r="E68" s="4">
        <v>6985</v>
      </c>
      <c r="F68" s="4">
        <v>6985</v>
      </c>
      <c r="G68" s="4">
        <v>6985</v>
      </c>
      <c r="H68" s="4"/>
      <c r="I68" s="4"/>
      <c r="J68" s="4">
        <v>6985</v>
      </c>
      <c r="K68" s="4">
        <v>6985</v>
      </c>
      <c r="L68" s="4">
        <v>6985</v>
      </c>
      <c r="M68" s="4">
        <v>6985</v>
      </c>
      <c r="N68" s="4">
        <v>6985</v>
      </c>
      <c r="O68" s="4"/>
      <c r="P68" s="4"/>
      <c r="Q68" s="4">
        <v>6985</v>
      </c>
      <c r="R68" s="4">
        <v>6985</v>
      </c>
      <c r="S68" s="4">
        <v>6985</v>
      </c>
      <c r="T68" s="4"/>
      <c r="U68" s="4"/>
      <c r="V68" s="4"/>
      <c r="W68" s="4"/>
      <c r="X68" s="4">
        <v>6985</v>
      </c>
      <c r="Y68" s="4">
        <v>6985</v>
      </c>
      <c r="Z68" s="4"/>
      <c r="AA68" s="4">
        <v>6985</v>
      </c>
      <c r="AB68" s="4">
        <v>6985</v>
      </c>
      <c r="AC68" s="20"/>
    </row>
    <row r="69" spans="1:31" s="49" customFormat="1" ht="15.75" x14ac:dyDescent="0.25">
      <c r="A69" s="98" t="s">
        <v>35</v>
      </c>
      <c r="B69" s="10"/>
      <c r="C69" s="1">
        <v>0.34722222222222227</v>
      </c>
      <c r="D69" s="1">
        <v>0.34722222222222227</v>
      </c>
      <c r="E69" s="1">
        <v>0.34722222222222227</v>
      </c>
      <c r="F69" s="1">
        <v>0.34722222222222227</v>
      </c>
      <c r="G69" s="1">
        <v>0.34722222222222227</v>
      </c>
      <c r="H69" s="1"/>
      <c r="I69" s="1"/>
      <c r="J69" s="1">
        <v>0.34722222222222227</v>
      </c>
      <c r="K69" s="1">
        <v>0.34722222222222227</v>
      </c>
      <c r="L69" s="1">
        <v>0.34722222222222227</v>
      </c>
      <c r="M69" s="1">
        <v>0.34722222222222227</v>
      </c>
      <c r="N69" s="1">
        <v>0.34722222222222227</v>
      </c>
      <c r="O69" s="1"/>
      <c r="P69" s="1"/>
      <c r="Q69" s="1">
        <v>0.34722222222222227</v>
      </c>
      <c r="R69" s="1">
        <v>0.34722222222222227</v>
      </c>
      <c r="S69" s="1">
        <v>0.34722222222222227</v>
      </c>
      <c r="T69" s="1"/>
      <c r="U69" s="1"/>
      <c r="V69" s="1"/>
      <c r="W69" s="1"/>
      <c r="X69" s="1">
        <v>0.34722222222222227</v>
      </c>
      <c r="Y69" s="1">
        <v>0.34722222222222227</v>
      </c>
      <c r="Z69" s="1"/>
      <c r="AA69" s="1">
        <v>0.34722222222222227</v>
      </c>
      <c r="AB69" s="1">
        <v>0.34722222222222227</v>
      </c>
      <c r="AC69" s="21"/>
    </row>
    <row r="70" spans="1:31" s="49" customFormat="1" ht="15.75" x14ac:dyDescent="0.25">
      <c r="A70" s="99" t="s">
        <v>33</v>
      </c>
      <c r="B70" s="78"/>
      <c r="C70" s="39">
        <v>0.83680555555555547</v>
      </c>
      <c r="D70" s="39">
        <v>0.83680555555555547</v>
      </c>
      <c r="E70" s="39">
        <v>3.8368055555555554</v>
      </c>
      <c r="F70" s="39">
        <v>0.83680555555555547</v>
      </c>
      <c r="G70" s="39">
        <v>0.83680555555555547</v>
      </c>
      <c r="H70" s="39"/>
      <c r="I70" s="39"/>
      <c r="J70" s="39">
        <v>0.83680555555555547</v>
      </c>
      <c r="K70" s="39">
        <v>2.8368055555555554</v>
      </c>
      <c r="L70" s="39">
        <v>0.83680555555555547</v>
      </c>
      <c r="M70" s="39">
        <v>0.83680555555555547</v>
      </c>
      <c r="N70" s="39">
        <v>0.83680555555555547</v>
      </c>
      <c r="O70" s="39"/>
      <c r="P70" s="39"/>
      <c r="Q70" s="39">
        <v>0.83680555555555547</v>
      </c>
      <c r="R70" s="39">
        <v>2.8368055555555554</v>
      </c>
      <c r="S70" s="39">
        <v>0.83680555555555547</v>
      </c>
      <c r="T70" s="39"/>
      <c r="U70" s="39"/>
      <c r="V70" s="39"/>
      <c r="W70" s="39"/>
      <c r="X70" s="39">
        <v>4.8368055555555554</v>
      </c>
      <c r="Y70" s="39">
        <v>0.83680555555555547</v>
      </c>
      <c r="Z70" s="39"/>
      <c r="AA70" s="39">
        <v>1.8368055555555556</v>
      </c>
      <c r="AB70" s="39">
        <v>0.83680555555555547</v>
      </c>
      <c r="AC70" s="79"/>
    </row>
    <row r="71" spans="1:31" s="49" customFormat="1" ht="15.75" x14ac:dyDescent="0.25">
      <c r="A71" s="97" t="s">
        <v>32</v>
      </c>
      <c r="B71" s="10"/>
      <c r="C71" s="1">
        <v>0.63263888888888886</v>
      </c>
      <c r="D71" s="1">
        <v>0.63263888888888886</v>
      </c>
      <c r="E71" s="1">
        <v>0.63263888888888886</v>
      </c>
      <c r="F71" s="1">
        <v>0.63263888888888886</v>
      </c>
      <c r="G71" s="1">
        <v>0.63263888888888886</v>
      </c>
      <c r="H71" s="1"/>
      <c r="I71" s="1"/>
      <c r="J71" s="1">
        <v>0.63263888888888886</v>
      </c>
      <c r="K71" s="1">
        <v>0.63263888888888886</v>
      </c>
      <c r="L71" s="1">
        <v>0.63263888888888886</v>
      </c>
      <c r="M71" s="1">
        <v>0.63263888888888886</v>
      </c>
      <c r="N71" s="1">
        <v>0.63263888888888886</v>
      </c>
      <c r="O71" s="1"/>
      <c r="P71" s="1"/>
      <c r="Q71" s="1">
        <v>0.63263888888888886</v>
      </c>
      <c r="R71" s="1">
        <v>0.63263888888888886</v>
      </c>
      <c r="S71" s="1">
        <v>0.63263888888888886</v>
      </c>
      <c r="T71" s="1"/>
      <c r="U71" s="1"/>
      <c r="V71" s="1"/>
      <c r="W71" s="1"/>
      <c r="X71" s="1">
        <v>0.63263888888888886</v>
      </c>
      <c r="Y71" s="1">
        <v>0.58680555555555558</v>
      </c>
      <c r="Z71" s="1"/>
      <c r="AA71" s="1">
        <v>0.63263888888888886</v>
      </c>
      <c r="AB71" s="1">
        <v>0.63263888888888886</v>
      </c>
      <c r="AC71" s="21"/>
    </row>
    <row r="72" spans="1:31" s="45" customFormat="1" ht="16.5" customHeight="1" thickBot="1" x14ac:dyDescent="0.3">
      <c r="A72" s="101" t="s">
        <v>34</v>
      </c>
      <c r="B72" s="80"/>
      <c r="C72" s="76">
        <v>0.68055555555555547</v>
      </c>
      <c r="D72" s="76">
        <v>0.68055555555555547</v>
      </c>
      <c r="E72" s="76">
        <v>3.6805555555555554</v>
      </c>
      <c r="F72" s="76">
        <v>0.68055555555555547</v>
      </c>
      <c r="G72" s="76">
        <v>0.68055555555555547</v>
      </c>
      <c r="H72" s="76"/>
      <c r="I72" s="76"/>
      <c r="J72" s="76">
        <v>0.68055555555555547</v>
      </c>
      <c r="K72" s="76">
        <v>2.6805555555555554</v>
      </c>
      <c r="L72" s="76">
        <v>0.68055555555555547</v>
      </c>
      <c r="M72" s="76">
        <v>0.68055555555555547</v>
      </c>
      <c r="N72" s="76">
        <v>0.68055555555555547</v>
      </c>
      <c r="O72" s="76"/>
      <c r="P72" s="76"/>
      <c r="Q72" s="76">
        <v>0.68055555555555547</v>
      </c>
      <c r="R72" s="76">
        <v>2.6805555555555554</v>
      </c>
      <c r="S72" s="76">
        <v>0.68055555555555547</v>
      </c>
      <c r="T72" s="76"/>
      <c r="U72" s="76"/>
      <c r="V72" s="76"/>
      <c r="W72" s="76"/>
      <c r="X72" s="76">
        <v>4.6805555555555554</v>
      </c>
      <c r="Y72" s="76">
        <v>0.68055555555555547</v>
      </c>
      <c r="Z72" s="76"/>
      <c r="AA72" s="76">
        <v>1.6805555555555556</v>
      </c>
      <c r="AB72" s="76">
        <v>0.68055555555555547</v>
      </c>
      <c r="AC72" s="77"/>
    </row>
    <row r="73" spans="1:31" s="46" customFormat="1" ht="15.75" x14ac:dyDescent="0.25">
      <c r="A73" s="96" t="s">
        <v>7</v>
      </c>
      <c r="B73" s="23" t="s">
        <v>57</v>
      </c>
      <c r="C73" s="17" t="s">
        <v>57</v>
      </c>
      <c r="D73" s="17" t="s">
        <v>57</v>
      </c>
      <c r="E73" s="17" t="s">
        <v>57</v>
      </c>
      <c r="F73" s="17" t="s">
        <v>57</v>
      </c>
      <c r="G73" s="17" t="s">
        <v>57</v>
      </c>
      <c r="H73" s="17" t="s">
        <v>57</v>
      </c>
      <c r="I73" s="17" t="s">
        <v>57</v>
      </c>
      <c r="J73" s="17" t="s">
        <v>57</v>
      </c>
      <c r="K73" s="17" t="s">
        <v>57</v>
      </c>
      <c r="L73" s="17" t="s">
        <v>57</v>
      </c>
      <c r="M73" s="17" t="s">
        <v>57</v>
      </c>
      <c r="N73" s="17" t="s">
        <v>57</v>
      </c>
      <c r="O73" s="17" t="s">
        <v>57</v>
      </c>
      <c r="P73" s="17" t="s">
        <v>57</v>
      </c>
      <c r="Q73" s="17" t="s">
        <v>57</v>
      </c>
      <c r="R73" s="17" t="s">
        <v>57</v>
      </c>
      <c r="S73" s="17" t="s">
        <v>57</v>
      </c>
      <c r="T73" s="17" t="s">
        <v>57</v>
      </c>
      <c r="U73" s="17" t="s">
        <v>57</v>
      </c>
      <c r="V73" s="17" t="s">
        <v>57</v>
      </c>
      <c r="W73" s="17" t="s">
        <v>57</v>
      </c>
      <c r="X73" s="17" t="s">
        <v>57</v>
      </c>
      <c r="Y73" s="17" t="s">
        <v>57</v>
      </c>
      <c r="Z73" s="17" t="s">
        <v>57</v>
      </c>
      <c r="AA73" s="17" t="s">
        <v>57</v>
      </c>
      <c r="AB73" s="17" t="s">
        <v>57</v>
      </c>
      <c r="AC73" s="18" t="s">
        <v>57</v>
      </c>
    </row>
    <row r="74" spans="1:31" s="46" customFormat="1" ht="15.75" x14ac:dyDescent="0.25">
      <c r="A74" s="97" t="s">
        <v>48</v>
      </c>
      <c r="B74" s="9" t="s">
        <v>73</v>
      </c>
      <c r="C74" s="3" t="s">
        <v>73</v>
      </c>
      <c r="D74" s="3" t="s">
        <v>73</v>
      </c>
      <c r="E74" s="3" t="s">
        <v>73</v>
      </c>
      <c r="F74" s="3" t="s">
        <v>73</v>
      </c>
      <c r="G74" s="3" t="s">
        <v>73</v>
      </c>
      <c r="H74" s="3" t="s">
        <v>73</v>
      </c>
      <c r="I74" s="3" t="s">
        <v>73</v>
      </c>
      <c r="J74" s="3" t="s">
        <v>73</v>
      </c>
      <c r="K74" s="3" t="s">
        <v>73</v>
      </c>
      <c r="L74" s="3" t="s">
        <v>73</v>
      </c>
      <c r="M74" s="3" t="s">
        <v>73</v>
      </c>
      <c r="N74" s="3" t="s">
        <v>73</v>
      </c>
      <c r="O74" s="3" t="s">
        <v>73</v>
      </c>
      <c r="P74" s="3" t="s">
        <v>73</v>
      </c>
      <c r="Q74" s="3" t="s">
        <v>73</v>
      </c>
      <c r="R74" s="3" t="s">
        <v>73</v>
      </c>
      <c r="S74" s="3" t="s">
        <v>73</v>
      </c>
      <c r="T74" s="3" t="s">
        <v>73</v>
      </c>
      <c r="U74" s="3" t="s">
        <v>73</v>
      </c>
      <c r="V74" s="3" t="s">
        <v>73</v>
      </c>
      <c r="W74" s="3" t="s">
        <v>73</v>
      </c>
      <c r="X74" s="3" t="s">
        <v>73</v>
      </c>
      <c r="Y74" s="3" t="s">
        <v>73</v>
      </c>
      <c r="Z74" s="3" t="s">
        <v>73</v>
      </c>
      <c r="AA74" s="3" t="s">
        <v>73</v>
      </c>
      <c r="AB74" s="3" t="s">
        <v>73</v>
      </c>
      <c r="AC74" s="19" t="s">
        <v>73</v>
      </c>
    </row>
    <row r="75" spans="1:31" s="46" customFormat="1" ht="15.75" x14ac:dyDescent="0.25">
      <c r="A75" s="97" t="s">
        <v>49</v>
      </c>
      <c r="B75" s="9" t="s">
        <v>74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74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 t="s">
        <v>74</v>
      </c>
      <c r="R75" s="3" t="s">
        <v>74</v>
      </c>
      <c r="S75" s="3" t="s">
        <v>74</v>
      </c>
      <c r="T75" s="3" t="s">
        <v>74</v>
      </c>
      <c r="U75" s="3" t="s">
        <v>74</v>
      </c>
      <c r="V75" s="3" t="s">
        <v>74</v>
      </c>
      <c r="W75" s="3" t="s">
        <v>74</v>
      </c>
      <c r="X75" s="3" t="s">
        <v>74</v>
      </c>
      <c r="Y75" s="3" t="s">
        <v>74</v>
      </c>
      <c r="Z75" s="3" t="s">
        <v>74</v>
      </c>
      <c r="AA75" s="3" t="s">
        <v>74</v>
      </c>
      <c r="AB75" s="3" t="s">
        <v>74</v>
      </c>
      <c r="AC75" s="19" t="s">
        <v>74</v>
      </c>
    </row>
    <row r="76" spans="1:31" s="49" customFormat="1" ht="15.75" x14ac:dyDescent="0.25">
      <c r="A76" s="98" t="s">
        <v>8</v>
      </c>
      <c r="B76" s="11" t="s">
        <v>58</v>
      </c>
      <c r="C76" s="4" t="s">
        <v>58</v>
      </c>
      <c r="D76" s="4" t="s">
        <v>58</v>
      </c>
      <c r="E76" s="4" t="s">
        <v>58</v>
      </c>
      <c r="F76" s="4" t="s">
        <v>58</v>
      </c>
      <c r="G76" s="4" t="s">
        <v>58</v>
      </c>
      <c r="H76" s="4" t="s">
        <v>58</v>
      </c>
      <c r="I76" s="4" t="s">
        <v>58</v>
      </c>
      <c r="J76" s="4" t="s">
        <v>58</v>
      </c>
      <c r="K76" s="4" t="s">
        <v>58</v>
      </c>
      <c r="L76" s="4" t="s">
        <v>58</v>
      </c>
      <c r="M76" s="4" t="s">
        <v>58</v>
      </c>
      <c r="N76" s="4" t="s">
        <v>58</v>
      </c>
      <c r="O76" s="4" t="s">
        <v>58</v>
      </c>
      <c r="P76" s="4" t="s">
        <v>58</v>
      </c>
      <c r="Q76" s="4" t="s">
        <v>58</v>
      </c>
      <c r="R76" s="4" t="s">
        <v>58</v>
      </c>
      <c r="S76" s="4" t="s">
        <v>58</v>
      </c>
      <c r="T76" s="4" t="s">
        <v>58</v>
      </c>
      <c r="U76" s="4" t="s">
        <v>58</v>
      </c>
      <c r="V76" s="4" t="s">
        <v>58</v>
      </c>
      <c r="W76" s="4" t="s">
        <v>58</v>
      </c>
      <c r="X76" s="4" t="s">
        <v>58</v>
      </c>
      <c r="Y76" s="4" t="s">
        <v>58</v>
      </c>
      <c r="Z76" s="4" t="s">
        <v>58</v>
      </c>
      <c r="AA76" s="4" t="s">
        <v>58</v>
      </c>
      <c r="AB76" s="4" t="s">
        <v>58</v>
      </c>
      <c r="AC76" s="20" t="s">
        <v>58</v>
      </c>
    </row>
    <row r="77" spans="1:31" s="49" customFormat="1" ht="15.75" x14ac:dyDescent="0.25">
      <c r="A77" s="98" t="s">
        <v>50</v>
      </c>
      <c r="B77" s="10" t="s">
        <v>71</v>
      </c>
      <c r="C77" s="1" t="s">
        <v>71</v>
      </c>
      <c r="D77" s="1" t="s">
        <v>71</v>
      </c>
      <c r="E77" s="1" t="s">
        <v>71</v>
      </c>
      <c r="F77" s="1" t="s">
        <v>71</v>
      </c>
      <c r="G77" s="1" t="s">
        <v>71</v>
      </c>
      <c r="H77" s="1" t="s">
        <v>71</v>
      </c>
      <c r="I77" s="1" t="s">
        <v>71</v>
      </c>
      <c r="J77" s="1" t="s">
        <v>71</v>
      </c>
      <c r="K77" s="1" t="s">
        <v>71</v>
      </c>
      <c r="L77" s="1" t="s">
        <v>71</v>
      </c>
      <c r="M77" s="1" t="s">
        <v>71</v>
      </c>
      <c r="N77" s="1" t="s">
        <v>71</v>
      </c>
      <c r="O77" s="1" t="s">
        <v>71</v>
      </c>
      <c r="P77" s="1" t="s">
        <v>71</v>
      </c>
      <c r="Q77" s="1" t="s">
        <v>71</v>
      </c>
      <c r="R77" s="1" t="s">
        <v>71</v>
      </c>
      <c r="S77" s="1" t="s">
        <v>71</v>
      </c>
      <c r="T77" s="1" t="s">
        <v>71</v>
      </c>
      <c r="U77" s="1" t="s">
        <v>71</v>
      </c>
      <c r="V77" s="1" t="s">
        <v>71</v>
      </c>
      <c r="W77" s="1" t="s">
        <v>71</v>
      </c>
      <c r="X77" s="1" t="s">
        <v>71</v>
      </c>
      <c r="Y77" s="1" t="s">
        <v>71</v>
      </c>
      <c r="Z77" s="1" t="s">
        <v>71</v>
      </c>
      <c r="AA77" s="1" t="s">
        <v>71</v>
      </c>
      <c r="AB77" s="1" t="s">
        <v>71</v>
      </c>
      <c r="AC77" s="21" t="s">
        <v>71</v>
      </c>
    </row>
    <row r="78" spans="1:31" s="49" customFormat="1" ht="15.75" x14ac:dyDescent="0.25">
      <c r="A78" s="98" t="s">
        <v>51</v>
      </c>
      <c r="B78" s="10" t="s">
        <v>72</v>
      </c>
      <c r="C78" s="1" t="s">
        <v>72</v>
      </c>
      <c r="D78" s="1" t="s">
        <v>72</v>
      </c>
      <c r="E78" s="1" t="s">
        <v>72</v>
      </c>
      <c r="F78" s="1" t="s">
        <v>72</v>
      </c>
      <c r="G78" s="1" t="s">
        <v>72</v>
      </c>
      <c r="H78" s="1" t="s">
        <v>72</v>
      </c>
      <c r="I78" s="1" t="s">
        <v>72</v>
      </c>
      <c r="J78" s="1" t="s">
        <v>72</v>
      </c>
      <c r="K78" s="1" t="s">
        <v>72</v>
      </c>
      <c r="L78" s="1" t="s">
        <v>72</v>
      </c>
      <c r="M78" s="1" t="s">
        <v>72</v>
      </c>
      <c r="N78" s="1" t="s">
        <v>72</v>
      </c>
      <c r="O78" s="1" t="s">
        <v>72</v>
      </c>
      <c r="P78" s="1" t="s">
        <v>72</v>
      </c>
      <c r="Q78" s="1" t="s">
        <v>72</v>
      </c>
      <c r="R78" s="1" t="s">
        <v>72</v>
      </c>
      <c r="S78" s="1" t="s">
        <v>72</v>
      </c>
      <c r="T78" s="1" t="s">
        <v>72</v>
      </c>
      <c r="U78" s="1" t="s">
        <v>72</v>
      </c>
      <c r="V78" s="1" t="s">
        <v>72</v>
      </c>
      <c r="W78" s="1" t="s">
        <v>72</v>
      </c>
      <c r="X78" s="1" t="s">
        <v>72</v>
      </c>
      <c r="Y78" s="1" t="s">
        <v>72</v>
      </c>
      <c r="Z78" s="1" t="s">
        <v>72</v>
      </c>
      <c r="AA78" s="1" t="s">
        <v>72</v>
      </c>
      <c r="AB78" s="1" t="s">
        <v>72</v>
      </c>
      <c r="AC78" s="21" t="s">
        <v>72</v>
      </c>
    </row>
    <row r="79" spans="1:31" s="45" customFormat="1" ht="16.5" thickBot="1" x14ac:dyDescent="0.3">
      <c r="A79" s="101" t="s">
        <v>52</v>
      </c>
      <c r="B79" s="29" t="s">
        <v>61</v>
      </c>
      <c r="C79" s="26" t="s">
        <v>61</v>
      </c>
      <c r="D79" s="26" t="s">
        <v>61</v>
      </c>
      <c r="E79" s="26" t="s">
        <v>61</v>
      </c>
      <c r="F79" s="26" t="s">
        <v>61</v>
      </c>
      <c r="G79" s="26" t="s">
        <v>61</v>
      </c>
      <c r="H79" s="26" t="s">
        <v>61</v>
      </c>
      <c r="I79" s="26" t="s">
        <v>61</v>
      </c>
      <c r="J79" s="26" t="s">
        <v>61</v>
      </c>
      <c r="K79" s="26" t="s">
        <v>61</v>
      </c>
      <c r="L79" s="26" t="s">
        <v>61</v>
      </c>
      <c r="M79" s="26" t="s">
        <v>61</v>
      </c>
      <c r="N79" s="26" t="s">
        <v>61</v>
      </c>
      <c r="O79" s="26" t="s">
        <v>61</v>
      </c>
      <c r="P79" s="26" t="s">
        <v>61</v>
      </c>
      <c r="Q79" s="26" t="s">
        <v>61</v>
      </c>
      <c r="R79" s="26" t="s">
        <v>61</v>
      </c>
      <c r="S79" s="26" t="s">
        <v>61</v>
      </c>
      <c r="T79" s="26" t="s">
        <v>61</v>
      </c>
      <c r="U79" s="26" t="s">
        <v>61</v>
      </c>
      <c r="V79" s="26" t="s">
        <v>61</v>
      </c>
      <c r="W79" s="26" t="s">
        <v>61</v>
      </c>
      <c r="X79" s="26" t="s">
        <v>61</v>
      </c>
      <c r="Y79" s="26" t="s">
        <v>61</v>
      </c>
      <c r="Z79" s="26" t="s">
        <v>61</v>
      </c>
      <c r="AA79" s="26" t="s">
        <v>61</v>
      </c>
      <c r="AB79" s="26" t="s">
        <v>61</v>
      </c>
      <c r="AC79" s="27" t="s">
        <v>61</v>
      </c>
    </row>
    <row r="80" spans="1:31" s="46" customFormat="1" ht="15.75" x14ac:dyDescent="0.25">
      <c r="A80" s="96" t="s">
        <v>7</v>
      </c>
      <c r="B80" s="23"/>
      <c r="C80" s="17">
        <v>338</v>
      </c>
      <c r="D80" s="17"/>
      <c r="E80" s="17">
        <v>338</v>
      </c>
      <c r="F80" s="17"/>
      <c r="G80" s="17">
        <v>338</v>
      </c>
      <c r="H80" s="17"/>
      <c r="I80" s="17"/>
      <c r="J80" s="17">
        <v>338</v>
      </c>
      <c r="K80" s="17"/>
      <c r="L80" s="17">
        <v>338</v>
      </c>
      <c r="M80" s="17"/>
      <c r="N80" s="17">
        <v>338</v>
      </c>
      <c r="O80" s="17"/>
      <c r="P80" s="17"/>
      <c r="Q80" s="17">
        <v>338</v>
      </c>
      <c r="R80" s="17"/>
      <c r="S80" s="17">
        <v>338</v>
      </c>
      <c r="T80" s="17"/>
      <c r="U80" s="17">
        <v>338</v>
      </c>
      <c r="V80" s="17"/>
      <c r="W80" s="17"/>
      <c r="X80" s="17">
        <v>338</v>
      </c>
      <c r="Y80" s="17"/>
      <c r="Z80" s="17">
        <v>338</v>
      </c>
      <c r="AA80" s="17"/>
      <c r="AB80" s="17">
        <v>338</v>
      </c>
      <c r="AC80" s="18"/>
      <c r="AD80" s="35"/>
      <c r="AE80" s="35"/>
    </row>
    <row r="81" spans="1:31" s="46" customFormat="1" ht="15.75" x14ac:dyDescent="0.25">
      <c r="A81" s="97" t="s">
        <v>16</v>
      </c>
      <c r="B81" s="9"/>
      <c r="C81" s="3">
        <v>0.78819444444444453</v>
      </c>
      <c r="D81" s="3"/>
      <c r="E81" s="3">
        <v>0.78819444444444453</v>
      </c>
      <c r="F81" s="3"/>
      <c r="G81" s="3">
        <v>0.78819444444444453</v>
      </c>
      <c r="H81" s="3"/>
      <c r="I81" s="3"/>
      <c r="J81" s="3">
        <v>0.78819444444444453</v>
      </c>
      <c r="K81" s="3"/>
      <c r="L81" s="3">
        <v>0.78819444444444453</v>
      </c>
      <c r="M81" s="3"/>
      <c r="N81" s="3">
        <v>0.78819444444444453</v>
      </c>
      <c r="O81" s="3"/>
      <c r="P81" s="3"/>
      <c r="Q81" s="3">
        <v>0.78819444444444453</v>
      </c>
      <c r="R81" s="3"/>
      <c r="S81" s="3">
        <v>0.78819444444444453</v>
      </c>
      <c r="T81" s="3"/>
      <c r="U81" s="3">
        <v>0.78819444444444453</v>
      </c>
      <c r="V81" s="3"/>
      <c r="W81" s="3"/>
      <c r="X81" s="3">
        <v>0.78819444444444453</v>
      </c>
      <c r="Y81" s="3"/>
      <c r="Z81" s="3">
        <v>0.78819444444444453</v>
      </c>
      <c r="AA81" s="3"/>
      <c r="AB81" s="3">
        <v>0.78819444444444453</v>
      </c>
      <c r="AC81" s="19"/>
      <c r="AD81" s="36"/>
      <c r="AE81" s="36"/>
    </row>
    <row r="82" spans="1:31" s="46" customFormat="1" ht="15.75" x14ac:dyDescent="0.25">
      <c r="A82" s="97" t="s">
        <v>42</v>
      </c>
      <c r="B82" s="9"/>
      <c r="C82" s="3"/>
      <c r="D82" s="3">
        <v>0.56944444444444442</v>
      </c>
      <c r="E82" s="3"/>
      <c r="F82" s="3">
        <v>0.56944444444444442</v>
      </c>
      <c r="G82" s="3"/>
      <c r="H82" s="3">
        <v>0.56944444444444442</v>
      </c>
      <c r="I82" s="3"/>
      <c r="J82" s="3"/>
      <c r="K82" s="3">
        <v>0.56944444444444442</v>
      </c>
      <c r="L82" s="3"/>
      <c r="M82" s="3">
        <v>0.56944444444444442</v>
      </c>
      <c r="N82" s="3"/>
      <c r="O82" s="3">
        <v>0.56944444444444442</v>
      </c>
      <c r="P82" s="3"/>
      <c r="Q82" s="3"/>
      <c r="R82" s="3">
        <v>0.56944444444444442</v>
      </c>
      <c r="S82" s="3"/>
      <c r="T82" s="3">
        <v>0.56944444444444442</v>
      </c>
      <c r="U82" s="3"/>
      <c r="V82" s="3">
        <v>0.56944444444444442</v>
      </c>
      <c r="W82" s="3"/>
      <c r="X82" s="3"/>
      <c r="Y82" s="3">
        <v>0.56944444444444442</v>
      </c>
      <c r="Z82" s="3"/>
      <c r="AA82" s="3">
        <v>0.56944444444444442</v>
      </c>
      <c r="AB82" s="3"/>
      <c r="AC82" s="19">
        <v>0.56944444444444442</v>
      </c>
      <c r="AD82" s="36"/>
      <c r="AE82" s="36"/>
    </row>
    <row r="83" spans="1:31" s="49" customFormat="1" ht="15.75" x14ac:dyDescent="0.25">
      <c r="A83" s="98" t="s">
        <v>8</v>
      </c>
      <c r="B83" s="11">
        <v>337</v>
      </c>
      <c r="C83" s="4"/>
      <c r="D83" s="4">
        <v>337</v>
      </c>
      <c r="E83" s="4"/>
      <c r="F83" s="4">
        <v>337</v>
      </c>
      <c r="G83" s="4"/>
      <c r="H83" s="4"/>
      <c r="I83" s="4">
        <v>337</v>
      </c>
      <c r="J83" s="4"/>
      <c r="K83" s="4">
        <v>337</v>
      </c>
      <c r="L83" s="4"/>
      <c r="M83" s="4">
        <v>337</v>
      </c>
      <c r="N83" s="4"/>
      <c r="O83" s="4"/>
      <c r="P83" s="4">
        <v>337</v>
      </c>
      <c r="Q83" s="4"/>
      <c r="R83" s="4">
        <v>337</v>
      </c>
      <c r="S83" s="4"/>
      <c r="T83" s="4">
        <v>337</v>
      </c>
      <c r="U83" s="4"/>
      <c r="V83" s="4"/>
      <c r="W83" s="4">
        <v>337</v>
      </c>
      <c r="X83" s="4"/>
      <c r="Y83" s="4">
        <v>337</v>
      </c>
      <c r="Z83" s="4"/>
      <c r="AA83" s="4">
        <v>337</v>
      </c>
      <c r="AB83" s="4"/>
      <c r="AC83" s="20"/>
      <c r="AD83" s="37"/>
      <c r="AE83" s="37"/>
    </row>
    <row r="84" spans="1:31" s="49" customFormat="1" ht="15.75" x14ac:dyDescent="0.25">
      <c r="A84" s="98" t="s">
        <v>43</v>
      </c>
      <c r="B84" s="10">
        <v>0.69444444444444453</v>
      </c>
      <c r="C84" s="1"/>
      <c r="D84" s="1">
        <v>0.69444444444444453</v>
      </c>
      <c r="E84" s="1"/>
      <c r="F84" s="1">
        <v>0.69444444444444453</v>
      </c>
      <c r="G84" s="1"/>
      <c r="H84" s="1"/>
      <c r="I84" s="1">
        <v>0.69444444444444453</v>
      </c>
      <c r="J84" s="1"/>
      <c r="K84" s="1">
        <v>0.69444444444444453</v>
      </c>
      <c r="L84" s="1"/>
      <c r="M84" s="1">
        <v>0.69444444444444453</v>
      </c>
      <c r="N84" s="1"/>
      <c r="O84" s="1"/>
      <c r="P84" s="1">
        <v>0.69444444444444453</v>
      </c>
      <c r="Q84" s="1"/>
      <c r="R84" s="1">
        <v>0.69444444444444453</v>
      </c>
      <c r="S84" s="1"/>
      <c r="T84" s="1">
        <v>0.69444444444444453</v>
      </c>
      <c r="U84" s="1"/>
      <c r="V84" s="1"/>
      <c r="W84" s="1">
        <v>0.69444444444444453</v>
      </c>
      <c r="X84" s="1"/>
      <c r="Y84" s="1">
        <v>0.69444444444444453</v>
      </c>
      <c r="Z84" s="1"/>
      <c r="AA84" s="1">
        <v>0.69444444444444453</v>
      </c>
      <c r="AB84" s="1"/>
      <c r="AC84" s="21"/>
      <c r="AD84" s="38"/>
      <c r="AE84" s="38"/>
    </row>
    <row r="85" spans="1:31" s="45" customFormat="1" ht="15.75" x14ac:dyDescent="0.25">
      <c r="A85" s="99" t="s">
        <v>44</v>
      </c>
      <c r="B85" s="109"/>
      <c r="C85" s="91">
        <v>1.1333333333333333</v>
      </c>
      <c r="D85" s="7"/>
      <c r="E85" s="91">
        <f>E84-E82</f>
        <v>0</v>
      </c>
      <c r="F85" s="91"/>
      <c r="G85" s="91">
        <f>G84-G82</f>
        <v>0</v>
      </c>
      <c r="H85" s="52"/>
      <c r="I85" s="52"/>
      <c r="J85" s="91">
        <v>1.1333333333333333</v>
      </c>
      <c r="K85" s="7"/>
      <c r="L85" s="91">
        <f>L84-L82</f>
        <v>0</v>
      </c>
      <c r="M85" s="91"/>
      <c r="N85" s="91">
        <f>N84-N82</f>
        <v>0</v>
      </c>
      <c r="O85" s="52"/>
      <c r="P85" s="52"/>
      <c r="Q85" s="91">
        <v>1.1333333333333333</v>
      </c>
      <c r="R85" s="7"/>
      <c r="S85" s="91">
        <f>S84-S82</f>
        <v>0</v>
      </c>
      <c r="T85" s="52"/>
      <c r="U85" s="91">
        <f>U84-U82</f>
        <v>0</v>
      </c>
      <c r="V85" s="52"/>
      <c r="W85" s="52"/>
      <c r="X85" s="91">
        <v>1.1333333333333333</v>
      </c>
      <c r="Y85" s="7"/>
      <c r="Z85" s="91">
        <f>Z84-Z82</f>
        <v>0</v>
      </c>
      <c r="AA85" s="91"/>
      <c r="AB85" s="91">
        <f>AB84-AB82</f>
        <v>0</v>
      </c>
      <c r="AC85" s="53"/>
    </row>
    <row r="86" spans="1:31" s="45" customFormat="1" ht="15.75" x14ac:dyDescent="0.25">
      <c r="A86" s="100" t="s">
        <v>11</v>
      </c>
      <c r="B86" s="61"/>
      <c r="C86" s="40">
        <v>0.49305555555555558</v>
      </c>
      <c r="D86" s="40"/>
      <c r="E86" s="40">
        <v>0.49305555555555558</v>
      </c>
      <c r="F86" s="40"/>
      <c r="G86" s="40">
        <v>0.49305555555555558</v>
      </c>
      <c r="H86" s="40"/>
      <c r="I86" s="40"/>
      <c r="J86" s="40">
        <v>0.49305555555555558</v>
      </c>
      <c r="K86" s="40"/>
      <c r="L86" s="40">
        <v>0.49305555555555558</v>
      </c>
      <c r="M86" s="40"/>
      <c r="N86" s="40">
        <v>0.49305555555555558</v>
      </c>
      <c r="O86" s="40"/>
      <c r="P86" s="40"/>
      <c r="Q86" s="40">
        <v>0.49305555555555558</v>
      </c>
      <c r="R86" s="40"/>
      <c r="S86" s="40">
        <v>0.49305555555555558</v>
      </c>
      <c r="T86" s="40"/>
      <c r="U86" s="40">
        <v>0.49305555555555558</v>
      </c>
      <c r="V86" s="40"/>
      <c r="W86" s="40"/>
      <c r="X86" s="40">
        <v>0.49305555555555558</v>
      </c>
      <c r="Y86" s="40"/>
      <c r="Z86" s="40">
        <v>0.49305555555555558</v>
      </c>
      <c r="AA86" s="40"/>
      <c r="AB86" s="40">
        <v>0.49305555555555558</v>
      </c>
      <c r="AC86" s="62"/>
    </row>
    <row r="87" spans="1:31" s="81" customFormat="1" ht="16.5" thickBot="1" x14ac:dyDescent="0.3">
      <c r="A87" s="103" t="s">
        <v>12</v>
      </c>
      <c r="B87" s="110"/>
      <c r="C87" s="92"/>
      <c r="D87" s="93">
        <v>0.28819444444444448</v>
      </c>
      <c r="E87" s="92"/>
      <c r="F87" s="92" t="s">
        <v>67</v>
      </c>
      <c r="G87" s="93"/>
      <c r="H87" s="92" t="s">
        <v>67</v>
      </c>
      <c r="I87" s="93"/>
      <c r="J87" s="92"/>
      <c r="K87" s="92" t="s">
        <v>67</v>
      </c>
      <c r="L87" s="92"/>
      <c r="M87" s="92" t="s">
        <v>67</v>
      </c>
      <c r="N87" s="93"/>
      <c r="O87" s="92" t="s">
        <v>67</v>
      </c>
      <c r="P87" s="93"/>
      <c r="Q87" s="92"/>
      <c r="R87" s="92" t="s">
        <v>67</v>
      </c>
      <c r="S87" s="92"/>
      <c r="T87" s="92" t="s">
        <v>67</v>
      </c>
      <c r="U87" s="93"/>
      <c r="V87" s="92" t="s">
        <v>67</v>
      </c>
      <c r="W87" s="93"/>
      <c r="X87" s="92"/>
      <c r="Y87" s="92" t="s">
        <v>67</v>
      </c>
      <c r="Z87" s="92"/>
      <c r="AA87" s="92" t="s">
        <v>67</v>
      </c>
      <c r="AB87" s="93"/>
      <c r="AC87" s="111" t="s">
        <v>67</v>
      </c>
    </row>
    <row r="88" spans="1:31" s="88" customFormat="1" ht="16.5" customHeight="1" x14ac:dyDescent="0.25">
      <c r="A88" s="96" t="s">
        <v>7</v>
      </c>
      <c r="B88" s="23">
        <v>43</v>
      </c>
      <c r="C88" s="17">
        <v>43</v>
      </c>
      <c r="D88" s="17">
        <v>43</v>
      </c>
      <c r="E88" s="17">
        <v>43</v>
      </c>
      <c r="F88" s="17">
        <v>43</v>
      </c>
      <c r="G88" s="17">
        <v>43</v>
      </c>
      <c r="H88" s="17">
        <v>43</v>
      </c>
      <c r="I88" s="17">
        <v>43</v>
      </c>
      <c r="J88" s="17">
        <v>43</v>
      </c>
      <c r="K88" s="17">
        <v>43</v>
      </c>
      <c r="L88" s="17">
        <v>43</v>
      </c>
      <c r="M88" s="17">
        <v>43</v>
      </c>
      <c r="N88" s="17">
        <v>43</v>
      </c>
      <c r="O88" s="17">
        <v>43</v>
      </c>
      <c r="P88" s="17">
        <v>43</v>
      </c>
      <c r="Q88" s="17">
        <v>43</v>
      </c>
      <c r="R88" s="17">
        <v>43</v>
      </c>
      <c r="S88" s="17">
        <v>43</v>
      </c>
      <c r="T88" s="17">
        <v>43</v>
      </c>
      <c r="U88" s="17">
        <v>43</v>
      </c>
      <c r="V88" s="17">
        <v>43</v>
      </c>
      <c r="W88" s="17">
        <v>43</v>
      </c>
      <c r="X88" s="17">
        <v>43</v>
      </c>
      <c r="Y88" s="17">
        <v>43</v>
      </c>
      <c r="Z88" s="17">
        <v>43</v>
      </c>
      <c r="AA88" s="17">
        <v>43</v>
      </c>
      <c r="AB88" s="17">
        <v>43</v>
      </c>
      <c r="AC88" s="18">
        <v>43</v>
      </c>
    </row>
    <row r="89" spans="1:31" s="88" customFormat="1" ht="16.5" customHeight="1" x14ac:dyDescent="0.25">
      <c r="A89" s="97" t="s">
        <v>15</v>
      </c>
      <c r="B89" s="9">
        <v>0.7270833333333333</v>
      </c>
      <c r="C89" s="3">
        <v>0.7270833333333333</v>
      </c>
      <c r="D89" s="3">
        <v>0.7270833333333333</v>
      </c>
      <c r="E89" s="3">
        <v>0.7270833333333333</v>
      </c>
      <c r="F89" s="3">
        <v>0.7270833333333333</v>
      </c>
      <c r="G89" s="3">
        <v>0.7270833333333333</v>
      </c>
      <c r="H89" s="3">
        <v>0.7270833333333333</v>
      </c>
      <c r="I89" s="3">
        <v>0.7270833333333333</v>
      </c>
      <c r="J89" s="3">
        <v>0.7270833333333333</v>
      </c>
      <c r="K89" s="3">
        <v>0.7270833333333333</v>
      </c>
      <c r="L89" s="3">
        <v>0.7270833333333333</v>
      </c>
      <c r="M89" s="3">
        <v>0.7270833333333333</v>
      </c>
      <c r="N89" s="3">
        <v>0.7270833333333333</v>
      </c>
      <c r="O89" s="3">
        <v>0.7270833333333333</v>
      </c>
      <c r="P89" s="3">
        <v>0.7270833333333333</v>
      </c>
      <c r="Q89" s="3">
        <v>0.7270833333333333</v>
      </c>
      <c r="R89" s="3">
        <v>0.7270833333333333</v>
      </c>
      <c r="S89" s="3">
        <v>0.7270833333333333</v>
      </c>
      <c r="T89" s="3">
        <v>0.7270833333333333</v>
      </c>
      <c r="U89" s="3">
        <v>0.7270833333333333</v>
      </c>
      <c r="V89" s="3">
        <v>0.7270833333333333</v>
      </c>
      <c r="W89" s="3">
        <v>0.7270833333333333</v>
      </c>
      <c r="X89" s="3">
        <v>0.7270833333333333</v>
      </c>
      <c r="Y89" s="3">
        <v>0.7270833333333333</v>
      </c>
      <c r="Z89" s="3">
        <v>0.7270833333333333</v>
      </c>
      <c r="AA89" s="3">
        <v>0.7270833333333333</v>
      </c>
      <c r="AB89" s="3">
        <v>0.7270833333333333</v>
      </c>
      <c r="AC89" s="19">
        <v>0.7270833333333333</v>
      </c>
    </row>
    <row r="90" spans="1:31" s="88" customFormat="1" ht="16.5" customHeight="1" x14ac:dyDescent="0.25">
      <c r="A90" s="97" t="s">
        <v>75</v>
      </c>
      <c r="B90" s="9">
        <v>0.96736111111111101</v>
      </c>
      <c r="C90" s="3">
        <v>0.96736111111111101</v>
      </c>
      <c r="D90" s="3">
        <v>0.96736111111111101</v>
      </c>
      <c r="E90" s="3">
        <v>0.96736111111111101</v>
      </c>
      <c r="F90" s="3">
        <v>0.96736111111111101</v>
      </c>
      <c r="G90" s="3">
        <v>0.96736111111111101</v>
      </c>
      <c r="H90" s="3">
        <v>0.96736111111111101</v>
      </c>
      <c r="I90" s="3">
        <v>0.96736111111111101</v>
      </c>
      <c r="J90" s="3">
        <v>0.96736111111111101</v>
      </c>
      <c r="K90" s="3">
        <v>0.96736111111111101</v>
      </c>
      <c r="L90" s="3">
        <v>0.96736111111111101</v>
      </c>
      <c r="M90" s="3">
        <v>0.96736111111111101</v>
      </c>
      <c r="N90" s="3">
        <v>0.96736111111111101</v>
      </c>
      <c r="O90" s="3">
        <v>0.96736111111111101</v>
      </c>
      <c r="P90" s="3">
        <v>0.96736111111111101</v>
      </c>
      <c r="Q90" s="3">
        <v>0.96736111111111101</v>
      </c>
      <c r="R90" s="3">
        <v>0.96736111111111101</v>
      </c>
      <c r="S90" s="3">
        <v>0.96736111111111101</v>
      </c>
      <c r="T90" s="3">
        <v>0.96736111111111101</v>
      </c>
      <c r="U90" s="3">
        <v>0.96736111111111101</v>
      </c>
      <c r="V90" s="3">
        <v>0.96736111111111101</v>
      </c>
      <c r="W90" s="3">
        <v>0.96736111111111101</v>
      </c>
      <c r="X90" s="3">
        <v>0.96736111111111101</v>
      </c>
      <c r="Y90" s="3">
        <v>0.96736111111111101</v>
      </c>
      <c r="Z90" s="3">
        <v>0.96736111111111101</v>
      </c>
      <c r="AA90" s="3">
        <v>0.96736111111111101</v>
      </c>
      <c r="AB90" s="3">
        <v>0.96736111111111101</v>
      </c>
      <c r="AC90" s="19">
        <v>0.96736111111111101</v>
      </c>
    </row>
    <row r="91" spans="1:31" s="88" customFormat="1" ht="16.5" customHeight="1" x14ac:dyDescent="0.25">
      <c r="A91" s="98" t="s">
        <v>8</v>
      </c>
      <c r="B91" s="11">
        <v>44</v>
      </c>
      <c r="C91" s="4">
        <v>44</v>
      </c>
      <c r="D91" s="4">
        <v>44</v>
      </c>
      <c r="E91" s="4">
        <v>44</v>
      </c>
      <c r="F91" s="4">
        <v>44</v>
      </c>
      <c r="G91" s="4">
        <v>44</v>
      </c>
      <c r="H91" s="4">
        <v>44</v>
      </c>
      <c r="I91" s="4">
        <v>44</v>
      </c>
      <c r="J91" s="4">
        <v>44</v>
      </c>
      <c r="K91" s="4">
        <v>44</v>
      </c>
      <c r="L91" s="4">
        <v>44</v>
      </c>
      <c r="M91" s="4">
        <v>44</v>
      </c>
      <c r="N91" s="4">
        <v>44</v>
      </c>
      <c r="O91" s="4">
        <v>44</v>
      </c>
      <c r="P91" s="4">
        <v>44</v>
      </c>
      <c r="Q91" s="4">
        <v>44</v>
      </c>
      <c r="R91" s="4">
        <v>44</v>
      </c>
      <c r="S91" s="4">
        <v>44</v>
      </c>
      <c r="T91" s="4">
        <v>44</v>
      </c>
      <c r="U91" s="4">
        <v>44</v>
      </c>
      <c r="V91" s="4">
        <v>44</v>
      </c>
      <c r="W91" s="4">
        <v>44</v>
      </c>
      <c r="X91" s="4">
        <v>44</v>
      </c>
      <c r="Y91" s="4">
        <v>44</v>
      </c>
      <c r="Z91" s="4">
        <v>44</v>
      </c>
      <c r="AA91" s="4">
        <v>44</v>
      </c>
      <c r="AB91" s="4">
        <v>44</v>
      </c>
      <c r="AC91" s="20">
        <v>44</v>
      </c>
    </row>
    <row r="92" spans="1:31" s="88" customFormat="1" ht="16.5" customHeight="1" x14ac:dyDescent="0.25">
      <c r="A92" s="98" t="s">
        <v>76</v>
      </c>
      <c r="B92" s="10">
        <v>0.19236111111111112</v>
      </c>
      <c r="C92" s="1">
        <v>0.19236111111111112</v>
      </c>
      <c r="D92" s="1">
        <v>0.20486111111111113</v>
      </c>
      <c r="E92" s="1">
        <v>0.20486111111111113</v>
      </c>
      <c r="F92" s="1">
        <v>0.20486111111111113</v>
      </c>
      <c r="G92" s="1">
        <v>0.20486111111111113</v>
      </c>
      <c r="H92" s="1">
        <v>0.20486111111111113</v>
      </c>
      <c r="I92" s="1">
        <v>0.20486111111111113</v>
      </c>
      <c r="J92" s="1">
        <v>0.20486111111111113</v>
      </c>
      <c r="K92" s="1">
        <v>0.20486111111111113</v>
      </c>
      <c r="L92" s="1">
        <v>0.20486111111111113</v>
      </c>
      <c r="M92" s="1">
        <v>0.20486111111111113</v>
      </c>
      <c r="N92" s="1">
        <v>0.20486111111111113</v>
      </c>
      <c r="O92" s="1">
        <v>0.20486111111111113</v>
      </c>
      <c r="P92" s="1">
        <v>0.20486111111111113</v>
      </c>
      <c r="Q92" s="1">
        <v>0.20486111111111113</v>
      </c>
      <c r="R92" s="1">
        <v>0.20486111111111113</v>
      </c>
      <c r="S92" s="1">
        <v>0.20486111111111113</v>
      </c>
      <c r="T92" s="1">
        <v>0.20486111111111113</v>
      </c>
      <c r="U92" s="1">
        <v>0.20486111111111113</v>
      </c>
      <c r="V92" s="1">
        <v>0.20486111111111113</v>
      </c>
      <c r="W92" s="1">
        <v>0.20486111111111113</v>
      </c>
      <c r="X92" s="1">
        <v>0.20486111111111113</v>
      </c>
      <c r="Y92" s="1">
        <v>0.20486111111111113</v>
      </c>
      <c r="Z92" s="1">
        <v>0.20486111111111113</v>
      </c>
      <c r="AA92" s="1">
        <v>0.20486111111111113</v>
      </c>
      <c r="AB92" s="1">
        <v>0.20486111111111113</v>
      </c>
      <c r="AC92" s="21">
        <v>0.20486111111111113</v>
      </c>
    </row>
    <row r="93" spans="1:31" s="88" customFormat="1" ht="16.5" customHeight="1" x14ac:dyDescent="0.25">
      <c r="A93" s="99" t="s">
        <v>77</v>
      </c>
      <c r="B93" s="12">
        <f t="shared" ref="B93" si="45">24-B90+B92</f>
        <v>23.225000000000001</v>
      </c>
      <c r="C93" s="7">
        <f t="shared" ref="C93" si="46">24-C90+C92</f>
        <v>23.225000000000001</v>
      </c>
      <c r="D93" s="7">
        <f t="shared" ref="D93" si="47">24-D90+D92</f>
        <v>23.237500000000001</v>
      </c>
      <c r="E93" s="7">
        <f t="shared" ref="E93" si="48">24-E90+E92</f>
        <v>23.237500000000001</v>
      </c>
      <c r="F93" s="7">
        <f t="shared" ref="F93:AC93" si="49">24-F90+F92</f>
        <v>23.237500000000001</v>
      </c>
      <c r="G93" s="7">
        <f t="shared" si="49"/>
        <v>23.237500000000001</v>
      </c>
      <c r="H93" s="7">
        <f t="shared" si="49"/>
        <v>23.237500000000001</v>
      </c>
      <c r="I93" s="7">
        <f t="shared" si="49"/>
        <v>23.237500000000001</v>
      </c>
      <c r="J93" s="7">
        <f t="shared" si="49"/>
        <v>23.237500000000001</v>
      </c>
      <c r="K93" s="7">
        <f t="shared" si="49"/>
        <v>23.237500000000001</v>
      </c>
      <c r="L93" s="7">
        <f t="shared" si="49"/>
        <v>23.237500000000001</v>
      </c>
      <c r="M93" s="7">
        <f t="shared" si="49"/>
        <v>23.237500000000001</v>
      </c>
      <c r="N93" s="7">
        <f t="shared" si="49"/>
        <v>23.237500000000001</v>
      </c>
      <c r="O93" s="7">
        <f t="shared" si="49"/>
        <v>23.237500000000001</v>
      </c>
      <c r="P93" s="7">
        <f t="shared" si="49"/>
        <v>23.237500000000001</v>
      </c>
      <c r="Q93" s="7">
        <f t="shared" si="49"/>
        <v>23.237500000000001</v>
      </c>
      <c r="R93" s="7">
        <f t="shared" si="49"/>
        <v>23.237500000000001</v>
      </c>
      <c r="S93" s="7">
        <f t="shared" si="49"/>
        <v>23.237500000000001</v>
      </c>
      <c r="T93" s="7">
        <f t="shared" si="49"/>
        <v>23.237500000000001</v>
      </c>
      <c r="U93" s="7">
        <f t="shared" si="49"/>
        <v>23.237500000000001</v>
      </c>
      <c r="V93" s="7">
        <f t="shared" si="49"/>
        <v>23.237500000000001</v>
      </c>
      <c r="W93" s="7">
        <f t="shared" si="49"/>
        <v>23.237500000000001</v>
      </c>
      <c r="X93" s="7">
        <f t="shared" si="49"/>
        <v>23.237500000000001</v>
      </c>
      <c r="Y93" s="7">
        <f t="shared" si="49"/>
        <v>23.237500000000001</v>
      </c>
      <c r="Z93" s="7">
        <f t="shared" si="49"/>
        <v>23.237500000000001</v>
      </c>
      <c r="AA93" s="7">
        <f t="shared" si="49"/>
        <v>23.237500000000001</v>
      </c>
      <c r="AB93" s="7">
        <f t="shared" si="49"/>
        <v>23.237500000000001</v>
      </c>
      <c r="AC93" s="59">
        <f t="shared" si="49"/>
        <v>23.237500000000001</v>
      </c>
    </row>
    <row r="94" spans="1:31" s="88" customFormat="1" ht="16.5" customHeight="1" x14ac:dyDescent="0.25">
      <c r="A94" s="100" t="s">
        <v>18</v>
      </c>
      <c r="B94" s="13">
        <v>0.45347222222222222</v>
      </c>
      <c r="C94" s="32">
        <v>0.45347222222222222</v>
      </c>
      <c r="D94" s="32">
        <v>0.44791666666666669</v>
      </c>
      <c r="E94" s="32">
        <v>0.44791666666666669</v>
      </c>
      <c r="F94" s="32">
        <v>0.44791666666666669</v>
      </c>
      <c r="G94" s="32">
        <v>0.44791666666666669</v>
      </c>
      <c r="H94" s="32">
        <v>0.44791666666666669</v>
      </c>
      <c r="I94" s="32">
        <v>0.44791666666666669</v>
      </c>
      <c r="J94" s="32">
        <v>0.44791666666666669</v>
      </c>
      <c r="K94" s="32">
        <v>0.44791666666666669</v>
      </c>
      <c r="L94" s="32">
        <v>0.44791666666666669</v>
      </c>
      <c r="M94" s="32">
        <v>0.44791666666666669</v>
      </c>
      <c r="N94" s="32">
        <v>0.44791666666666669</v>
      </c>
      <c r="O94" s="32">
        <v>0.44791666666666669</v>
      </c>
      <c r="P94" s="32">
        <v>0.44791666666666669</v>
      </c>
      <c r="Q94" s="32">
        <v>0.44791666666666669</v>
      </c>
      <c r="R94" s="32">
        <v>0.44791666666666669</v>
      </c>
      <c r="S94" s="32">
        <v>0.44791666666666669</v>
      </c>
      <c r="T94" s="32">
        <v>0.44791666666666669</v>
      </c>
      <c r="U94" s="32">
        <v>0.44791666666666669</v>
      </c>
      <c r="V94" s="32">
        <v>0.44791666666666669</v>
      </c>
      <c r="W94" s="32">
        <v>0.44791666666666669</v>
      </c>
      <c r="X94" s="32">
        <v>0.44791666666666669</v>
      </c>
      <c r="Y94" s="32">
        <v>0.44791666666666669</v>
      </c>
      <c r="Z94" s="32">
        <v>0.44791666666666669</v>
      </c>
      <c r="AA94" s="32">
        <v>0.44791666666666669</v>
      </c>
      <c r="AB94" s="32">
        <v>0.44791666666666669</v>
      </c>
      <c r="AC94" s="60">
        <v>0.44791666666666669</v>
      </c>
    </row>
    <row r="95" spans="1:31" s="88" customFormat="1" ht="16.5" customHeight="1" thickBot="1" x14ac:dyDescent="0.3">
      <c r="A95" s="101" t="s">
        <v>12</v>
      </c>
      <c r="B95" s="24">
        <f t="shared" ref="B95:C95" si="50">B89-B94</f>
        <v>0.27361111111111108</v>
      </c>
      <c r="C95" s="25">
        <f t="shared" si="50"/>
        <v>0.27361111111111108</v>
      </c>
      <c r="D95" s="93"/>
      <c r="E95" s="25"/>
      <c r="F95" s="93"/>
      <c r="G95" s="25"/>
      <c r="H95" s="93"/>
      <c r="I95" s="25"/>
      <c r="J95" s="93"/>
      <c r="K95" s="25"/>
      <c r="L95" s="93"/>
      <c r="M95" s="25"/>
      <c r="N95" s="93"/>
      <c r="O95" s="25"/>
      <c r="P95" s="93"/>
      <c r="Q95" s="25"/>
      <c r="R95" s="93"/>
      <c r="S95" s="25"/>
      <c r="T95" s="93"/>
      <c r="U95" s="25"/>
      <c r="V95" s="93"/>
      <c r="W95" s="25"/>
      <c r="X95" s="93"/>
      <c r="Y95" s="25"/>
      <c r="Z95" s="93"/>
      <c r="AA95" s="25"/>
      <c r="AB95" s="93"/>
      <c r="AC95" s="58"/>
    </row>
    <row r="96" spans="1:31" s="88" customFormat="1" ht="16.5" customHeight="1" x14ac:dyDescent="0.25">
      <c r="A96" s="41" t="s">
        <v>7</v>
      </c>
      <c r="B96" s="119"/>
      <c r="C96" s="17">
        <v>15</v>
      </c>
      <c r="D96" s="17"/>
      <c r="E96" s="17">
        <v>15</v>
      </c>
      <c r="F96" s="17"/>
      <c r="G96" s="17">
        <v>15</v>
      </c>
      <c r="H96" s="17"/>
      <c r="I96" s="17">
        <v>15</v>
      </c>
      <c r="J96" s="17"/>
      <c r="K96" s="17">
        <v>15</v>
      </c>
      <c r="L96" s="17"/>
      <c r="M96" s="17">
        <v>15</v>
      </c>
      <c r="N96" s="17"/>
      <c r="O96" s="17">
        <v>15</v>
      </c>
      <c r="P96" s="17"/>
      <c r="Q96" s="17">
        <v>15</v>
      </c>
      <c r="R96" s="17"/>
      <c r="S96" s="120"/>
      <c r="T96" s="17">
        <v>15</v>
      </c>
      <c r="U96" s="17"/>
      <c r="V96" s="17">
        <v>15</v>
      </c>
      <c r="W96" s="17"/>
      <c r="X96" s="17">
        <v>15</v>
      </c>
      <c r="Y96" s="17"/>
      <c r="Z96" s="17">
        <v>15</v>
      </c>
      <c r="AA96" s="17"/>
      <c r="AB96" s="17">
        <v>15</v>
      </c>
      <c r="AC96" s="18"/>
    </row>
    <row r="97" spans="1:29" s="88" customFormat="1" ht="16.5" customHeight="1" x14ac:dyDescent="0.25">
      <c r="A97" s="47" t="s">
        <v>15</v>
      </c>
      <c r="B97" s="121"/>
      <c r="C97" s="3">
        <v>0.33124999999999999</v>
      </c>
      <c r="D97" s="3"/>
      <c r="E97" s="3">
        <v>0.33124999999999999</v>
      </c>
      <c r="F97" s="3"/>
      <c r="G97" s="3">
        <v>0.33124999999999999</v>
      </c>
      <c r="H97" s="3"/>
      <c r="I97" s="3">
        <v>0.33124999999999999</v>
      </c>
      <c r="J97" s="3"/>
      <c r="K97" s="3">
        <v>0.33124999999999999</v>
      </c>
      <c r="L97" s="3"/>
      <c r="M97" s="3">
        <v>0.33124999999999999</v>
      </c>
      <c r="N97" s="3"/>
      <c r="O97" s="3">
        <v>0.33124999999999999</v>
      </c>
      <c r="P97" s="3"/>
      <c r="Q97" s="3">
        <v>0.33124999999999999</v>
      </c>
      <c r="R97" s="3"/>
      <c r="S97" s="90"/>
      <c r="T97" s="3">
        <v>0.33124999999999999</v>
      </c>
      <c r="U97" s="3"/>
      <c r="V97" s="3">
        <v>0.33124999999999999</v>
      </c>
      <c r="W97" s="3"/>
      <c r="X97" s="3">
        <v>0.33124999999999999</v>
      </c>
      <c r="Y97" s="3"/>
      <c r="Z97" s="3">
        <v>0.33124999999999999</v>
      </c>
      <c r="AA97" s="3"/>
      <c r="AB97" s="3">
        <v>0.33124999999999999</v>
      </c>
      <c r="AC97" s="19"/>
    </row>
    <row r="98" spans="1:29" s="88" customFormat="1" ht="16.5" customHeight="1" x14ac:dyDescent="0.25">
      <c r="A98" s="47" t="s">
        <v>75</v>
      </c>
      <c r="B98" s="121"/>
      <c r="C98" s="3">
        <v>0.55972222222222223</v>
      </c>
      <c r="D98" s="3"/>
      <c r="E98" s="3">
        <v>0.55972222222222223</v>
      </c>
      <c r="F98" s="3"/>
      <c r="G98" s="3">
        <v>0.55972222222222223</v>
      </c>
      <c r="H98" s="3"/>
      <c r="I98" s="3">
        <v>0.55972222222222223</v>
      </c>
      <c r="J98" s="3"/>
      <c r="K98" s="3">
        <v>0.55972222222222223</v>
      </c>
      <c r="L98" s="3"/>
      <c r="M98" s="3">
        <v>0.55972222222222223</v>
      </c>
      <c r="N98" s="3"/>
      <c r="O98" s="3">
        <v>0.55972222222222223</v>
      </c>
      <c r="P98" s="3"/>
      <c r="Q98" s="3">
        <v>0.55972222222222223</v>
      </c>
      <c r="R98" s="3"/>
      <c r="S98" s="90"/>
      <c r="T98" s="3">
        <v>0.55972222222222223</v>
      </c>
      <c r="U98" s="3"/>
      <c r="V98" s="3">
        <v>0.55972222222222223</v>
      </c>
      <c r="W98" s="3"/>
      <c r="X98" s="3">
        <v>0.55972222222222223</v>
      </c>
      <c r="Y98" s="3"/>
      <c r="Z98" s="3">
        <v>0.55972222222222223</v>
      </c>
      <c r="AA98" s="3"/>
      <c r="AB98" s="3">
        <v>0.55972222222222223</v>
      </c>
      <c r="AC98" s="19"/>
    </row>
    <row r="99" spans="1:29" s="88" customFormat="1" ht="16.5" customHeight="1" x14ac:dyDescent="0.25">
      <c r="A99" s="48" t="s">
        <v>8</v>
      </c>
      <c r="B99" s="11"/>
      <c r="C99" s="4">
        <v>16</v>
      </c>
      <c r="D99" s="4">
        <v>16</v>
      </c>
      <c r="E99" s="4"/>
      <c r="F99" s="4">
        <v>16</v>
      </c>
      <c r="G99" s="4"/>
      <c r="H99" s="4">
        <v>16</v>
      </c>
      <c r="I99" s="4"/>
      <c r="J99" s="4">
        <v>16</v>
      </c>
      <c r="K99" s="4"/>
      <c r="L99" s="4">
        <v>16</v>
      </c>
      <c r="M99" s="4"/>
      <c r="N99" s="4">
        <v>16</v>
      </c>
      <c r="O99" s="4"/>
      <c r="P99" s="4">
        <v>16</v>
      </c>
      <c r="Q99" s="4"/>
      <c r="R99" s="4">
        <v>16</v>
      </c>
      <c r="S99" s="90"/>
      <c r="T99" s="4">
        <v>16</v>
      </c>
      <c r="U99" s="4"/>
      <c r="V99" s="4"/>
      <c r="W99" s="4">
        <v>16</v>
      </c>
      <c r="X99" s="4"/>
      <c r="Y99" s="4">
        <v>16</v>
      </c>
      <c r="Z99" s="4"/>
      <c r="AA99" s="4">
        <v>16</v>
      </c>
      <c r="AB99" s="4"/>
      <c r="AC99" s="20">
        <v>16</v>
      </c>
    </row>
    <row r="100" spans="1:29" s="88" customFormat="1" ht="16.5" customHeight="1" x14ac:dyDescent="0.25">
      <c r="A100" s="48" t="s">
        <v>76</v>
      </c>
      <c r="B100" s="10"/>
      <c r="C100" s="1">
        <v>0.7944444444444444</v>
      </c>
      <c r="D100" s="1"/>
      <c r="E100" s="1">
        <v>0.7944444444444444</v>
      </c>
      <c r="F100" s="1"/>
      <c r="G100" s="1">
        <v>0.7944444444444444</v>
      </c>
      <c r="H100" s="1"/>
      <c r="I100" s="1">
        <v>0.7944444444444444</v>
      </c>
      <c r="J100" s="1"/>
      <c r="K100" s="1">
        <v>0.7944444444444444</v>
      </c>
      <c r="L100" s="1"/>
      <c r="M100" s="1">
        <v>0.7944444444444444</v>
      </c>
      <c r="N100" s="1"/>
      <c r="O100" s="1">
        <v>0.7944444444444444</v>
      </c>
      <c r="P100" s="1"/>
      <c r="Q100" s="1">
        <v>0.7944444444444444</v>
      </c>
      <c r="R100" s="1"/>
      <c r="S100" s="1">
        <v>0.7944444444444444</v>
      </c>
      <c r="T100" s="1"/>
      <c r="U100" s="1"/>
      <c r="V100" s="1">
        <v>0.7944444444444444</v>
      </c>
      <c r="W100" s="1"/>
      <c r="X100" s="1">
        <v>0.7944444444444444</v>
      </c>
      <c r="Y100" s="1"/>
      <c r="Z100" s="1">
        <v>0.7944444444444444</v>
      </c>
      <c r="AA100" s="1"/>
      <c r="AB100" s="1">
        <v>0.7944444444444444</v>
      </c>
      <c r="AC100" s="21"/>
    </row>
    <row r="101" spans="1:29" s="88" customFormat="1" ht="16.5" customHeight="1" x14ac:dyDescent="0.25">
      <c r="A101" s="50" t="s">
        <v>77</v>
      </c>
      <c r="B101" s="12"/>
      <c r="C101" s="112">
        <f>C100-C98</f>
        <v>0.23472222222222217</v>
      </c>
      <c r="D101" s="7"/>
      <c r="E101" s="112">
        <f t="shared" ref="E101" si="51">E100-E98</f>
        <v>0.23472222222222217</v>
      </c>
      <c r="F101" s="7"/>
      <c r="G101" s="112">
        <f t="shared" ref="G101" si="52">G100-G98</f>
        <v>0.23472222222222217</v>
      </c>
      <c r="H101" s="7"/>
      <c r="I101" s="112">
        <f t="shared" ref="I101" si="53">I100-I98</f>
        <v>0.23472222222222217</v>
      </c>
      <c r="J101" s="7"/>
      <c r="K101" s="112">
        <f t="shared" ref="K101" si="54">K100-K98</f>
        <v>0.23472222222222217</v>
      </c>
      <c r="L101" s="7"/>
      <c r="M101" s="112">
        <f t="shared" ref="M101" si="55">M100-M98</f>
        <v>0.23472222222222217</v>
      </c>
      <c r="N101" s="7"/>
      <c r="O101" s="112">
        <f t="shared" ref="O101" si="56">O100-O98</f>
        <v>0.23472222222222217</v>
      </c>
      <c r="P101" s="7"/>
      <c r="Q101" s="112">
        <f t="shared" ref="Q101" si="57">Q100-Q98</f>
        <v>0.23472222222222217</v>
      </c>
      <c r="R101" s="7"/>
      <c r="S101" s="112"/>
      <c r="T101" s="7"/>
      <c r="U101" s="112"/>
      <c r="V101" s="7"/>
      <c r="W101" s="112"/>
      <c r="X101" s="7"/>
      <c r="Y101" s="112"/>
      <c r="Z101" s="7"/>
      <c r="AA101" s="112"/>
      <c r="AB101" s="7"/>
      <c r="AC101" s="122"/>
    </row>
    <row r="102" spans="1:29" s="88" customFormat="1" ht="16.5" customHeight="1" x14ac:dyDescent="0.25">
      <c r="A102" s="54" t="s">
        <v>18</v>
      </c>
      <c r="B102" s="61">
        <v>4.027777777777778E-2</v>
      </c>
      <c r="C102" s="40"/>
      <c r="D102" s="40">
        <v>2.7777777777777776E-2</v>
      </c>
      <c r="E102" s="40"/>
      <c r="F102" s="40">
        <v>2.7777777777777776E-2</v>
      </c>
      <c r="G102" s="40"/>
      <c r="H102" s="40">
        <v>2.7777777777777776E-2</v>
      </c>
      <c r="I102" s="40"/>
      <c r="J102" s="40">
        <v>2.7777777777777776E-2</v>
      </c>
      <c r="K102" s="40"/>
      <c r="L102" s="40">
        <v>2.7777777777777776E-2</v>
      </c>
      <c r="M102" s="40"/>
      <c r="N102" s="40">
        <v>2.7777777777777776E-2</v>
      </c>
      <c r="O102" s="40"/>
      <c r="P102" s="40">
        <v>2.7777777777777776E-2</v>
      </c>
      <c r="Q102" s="40"/>
      <c r="R102" s="40">
        <v>2.7777777777777776E-2</v>
      </c>
      <c r="S102" s="90"/>
      <c r="T102" s="40">
        <v>2.7777777777777776E-2</v>
      </c>
      <c r="U102" s="40"/>
      <c r="V102" s="40"/>
      <c r="W102" s="40">
        <v>2.7777777777777776E-2</v>
      </c>
      <c r="X102" s="40"/>
      <c r="Y102" s="40">
        <v>2.7777777777777776E-2</v>
      </c>
      <c r="Z102" s="40"/>
      <c r="AA102" s="40">
        <v>2.7777777777777776E-2</v>
      </c>
      <c r="AB102" s="40"/>
      <c r="AC102" s="62">
        <v>2.7777777777777776E-2</v>
      </c>
    </row>
    <row r="103" spans="1:29" s="89" customFormat="1" ht="16.5" thickBot="1" x14ac:dyDescent="0.3">
      <c r="A103" s="57" t="s">
        <v>12</v>
      </c>
      <c r="B103" s="123"/>
      <c r="C103" s="92"/>
      <c r="D103" s="93"/>
      <c r="E103" s="93"/>
      <c r="F103" s="93"/>
      <c r="G103" s="92"/>
      <c r="H103" s="93"/>
      <c r="I103" s="92"/>
      <c r="J103" s="93"/>
      <c r="K103" s="92"/>
      <c r="L103" s="93"/>
      <c r="M103" s="92"/>
      <c r="N103" s="93"/>
      <c r="O103" s="92"/>
      <c r="P103" s="93"/>
      <c r="Q103" s="92"/>
      <c r="R103" s="93"/>
      <c r="S103" s="124"/>
      <c r="T103" s="92"/>
      <c r="U103" s="93"/>
      <c r="V103" s="92"/>
      <c r="W103" s="93"/>
      <c r="X103" s="92"/>
      <c r="Y103" s="93"/>
      <c r="Z103" s="92"/>
      <c r="AA103" s="93"/>
      <c r="AB103" s="92"/>
      <c r="AC103" s="125"/>
    </row>
    <row r="104" spans="1:29" s="45" customFormat="1" ht="15.75" x14ac:dyDescent="0.25">
      <c r="A104" s="82" t="s">
        <v>80</v>
      </c>
    </row>
    <row r="105" spans="1:29" s="45" customFormat="1" ht="15.75" x14ac:dyDescent="0.25">
      <c r="A105" s="82" t="s">
        <v>78</v>
      </c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</row>
    <row r="106" spans="1:29" ht="15.75" x14ac:dyDescent="0.25">
      <c r="A106" s="82" t="s">
        <v>79</v>
      </c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</row>
    <row r="107" spans="1:29" ht="15.75" x14ac:dyDescent="0.25">
      <c r="A107" s="82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</row>
    <row r="108" spans="1:29" s="45" customFormat="1" ht="15.75" x14ac:dyDescent="0.25">
      <c r="A108" s="129" t="s">
        <v>63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</row>
    <row r="109" spans="1:29" ht="20.25" x14ac:dyDescent="0.3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84"/>
    </row>
    <row r="110" spans="1:29" x14ac:dyDescent="0.25">
      <c r="E110" s="85"/>
    </row>
    <row r="112" spans="1:29" ht="20.25" x14ac:dyDescent="0.3">
      <c r="A112" s="129" t="s">
        <v>54</v>
      </c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84"/>
    </row>
    <row r="113" spans="1:19" ht="20.25" x14ac:dyDescent="0.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84"/>
    </row>
    <row r="119" spans="1:19" x14ac:dyDescent="0.25">
      <c r="H119" s="86"/>
      <c r="I119" s="86"/>
      <c r="J119" s="87"/>
      <c r="K119" s="87"/>
    </row>
  </sheetData>
  <mergeCells count="16">
    <mergeCell ref="A112:R113"/>
    <mergeCell ref="B7:S7"/>
    <mergeCell ref="A7:A9"/>
    <mergeCell ref="T7:AC7"/>
    <mergeCell ref="A108:R109"/>
    <mergeCell ref="A6:R6"/>
    <mergeCell ref="A1:F1"/>
    <mergeCell ref="A5:AC5"/>
    <mergeCell ref="A2:F2"/>
    <mergeCell ref="A3:F3"/>
    <mergeCell ref="U1:AC1"/>
    <mergeCell ref="U2:AC2"/>
    <mergeCell ref="U3:AC3"/>
    <mergeCell ref="J1:R1"/>
    <mergeCell ref="J2:R2"/>
    <mergeCell ref="J3:R3"/>
  </mergeCells>
  <pageMargins left="0.7" right="0.7" top="0.75" bottom="0.75" header="0.3" footer="0.3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F52A-483B-4B6A-9DAD-29B13C5D24F3}">
  <dimension ref="L21:N25"/>
  <sheetViews>
    <sheetView workbookViewId="0">
      <selection activeCell="M22" sqref="M22"/>
    </sheetView>
  </sheetViews>
  <sheetFormatPr defaultRowHeight="15" x14ac:dyDescent="0.25"/>
  <cols>
    <col min="12" max="13" width="15.28515625" bestFit="1" customWidth="1"/>
  </cols>
  <sheetData>
    <row r="21" spans="12:14" x14ac:dyDescent="0.25">
      <c r="L21" s="30">
        <v>45647.503472222219</v>
      </c>
      <c r="M21" s="30">
        <v>45649.340277777781</v>
      </c>
      <c r="N21" s="31">
        <f>M21-L21</f>
        <v>1.8368055555620231</v>
      </c>
    </row>
    <row r="25" spans="12:14" x14ac:dyDescent="0.25">
      <c r="L25" s="16">
        <v>0.46180555555555558</v>
      </c>
      <c r="M25" s="16">
        <v>0.75</v>
      </c>
      <c r="N25" s="16">
        <f>(M25-L25)+24</f>
        <v>24.288194444444443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Новая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2025-12-04T03:59:22Z</dcterms:modified>
</cp:coreProperties>
</file>