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35781A63-E453-446B-894B-9FAA75DB3176}" xr6:coauthVersionLast="47" xr6:coauthVersionMax="47" xr10:uidLastSave="{00000000-0000-0000-0000-000000000000}"/>
  <bookViews>
    <workbookView xWindow="150" yWindow="420" windowWidth="14370" windowHeight="15555" xr2:uid="{00000000-000D-0000-FFFF-FFFF00000000}"/>
  </bookViews>
  <sheets>
    <sheet name="Мангыстау" sheetId="4" r:id="rId1"/>
    <sheet name="Бейнеу" sheetId="5" r:id="rId2"/>
    <sheet name="Атырау" sheetId="12" r:id="rId3"/>
    <sheet name="Макат" sheetId="6" r:id="rId4"/>
    <sheet name="Актобе" sheetId="13" r:id="rId5"/>
  </sheets>
  <definedNames>
    <definedName name="_xlnm.Print_Area" localSheetId="2">Атырау!$A$1:$AG$45</definedName>
    <definedName name="_xlnm.Print_Area" localSheetId="1">Бейнеу!$A$1:$AG$25</definedName>
    <definedName name="_xlnm.Print_Area" localSheetId="3">Макат!$A$1:$AG$25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5" l="1"/>
  <c r="AD10" i="5"/>
  <c r="AB10" i="5"/>
  <c r="Z10" i="5"/>
  <c r="X10" i="5"/>
  <c r="AF15" i="5"/>
  <c r="AF10" i="5"/>
  <c r="V15" i="5"/>
  <c r="V10" i="5"/>
  <c r="T15" i="5"/>
  <c r="T10" i="5"/>
  <c r="R15" i="5"/>
  <c r="R10" i="5"/>
  <c r="P10" i="5"/>
  <c r="N10" i="5"/>
  <c r="L10" i="5"/>
  <c r="H15" i="5"/>
  <c r="H10" i="5"/>
  <c r="F15" i="5"/>
  <c r="F10" i="5"/>
  <c r="D15" i="5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AF40" i="4"/>
  <c r="AD40" i="4"/>
  <c r="AB40" i="4"/>
  <c r="Y40" i="4"/>
  <c r="W40" i="4"/>
  <c r="U40" i="4"/>
  <c r="R40" i="4"/>
  <c r="P40" i="4"/>
  <c r="N40" i="4"/>
  <c r="K40" i="4"/>
  <c r="I40" i="4"/>
  <c r="G40" i="4"/>
  <c r="D40" i="4"/>
  <c r="AH35" i="4"/>
  <c r="AF35" i="4"/>
  <c r="AD35" i="4"/>
  <c r="AB35" i="4"/>
  <c r="Z35" i="4"/>
  <c r="X35" i="4"/>
  <c r="V35" i="4"/>
  <c r="T35" i="4"/>
  <c r="Q35" i="4"/>
  <c r="O35" i="4"/>
  <c r="M35" i="4"/>
  <c r="K35" i="4"/>
  <c r="I35" i="4"/>
  <c r="G35" i="4"/>
  <c r="AG30" i="4" l="1"/>
  <c r="AE30" i="4"/>
  <c r="AC30" i="4"/>
  <c r="AA30" i="4"/>
  <c r="Y30" i="4"/>
  <c r="W30" i="4"/>
  <c r="Q30" i="4"/>
  <c r="O30" i="4"/>
  <c r="M30" i="4"/>
  <c r="K30" i="4"/>
  <c r="I30" i="4"/>
  <c r="G30" i="4"/>
  <c r="U25" i="4"/>
  <c r="AH20" i="4"/>
  <c r="P20" i="4" l="1"/>
  <c r="N20" i="4"/>
  <c r="L20" i="4"/>
  <c r="J20" i="4"/>
  <c r="H20" i="4"/>
  <c r="F20" i="4"/>
  <c r="F8" i="4"/>
  <c r="G8" i="4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W8" i="4" s="1"/>
  <c r="X8" i="4" s="1"/>
  <c r="Y8" i="4" s="1"/>
  <c r="Z8" i="4" s="1"/>
  <c r="AA8" i="4" s="1"/>
  <c r="AB8" i="4" s="1"/>
  <c r="AC8" i="4" s="1"/>
  <c r="AD8" i="4" s="1"/>
  <c r="AE8" i="4" s="1"/>
  <c r="AF8" i="4" s="1"/>
  <c r="AG8" i="4" s="1"/>
  <c r="AH8" i="4" s="1"/>
  <c r="E8" i="4"/>
  <c r="AG12" i="12"/>
  <c r="AG15" i="12" s="1"/>
  <c r="AG10" i="12"/>
  <c r="AG7" i="12"/>
  <c r="AG9" i="12"/>
  <c r="AG40" i="12"/>
  <c r="AG37" i="12"/>
  <c r="AG39" i="12"/>
  <c r="AG35" i="12"/>
  <c r="W35" i="12"/>
  <c r="U35" i="12"/>
  <c r="AG25" i="12" l="1"/>
  <c r="AE25" i="12"/>
  <c r="AC25" i="12"/>
  <c r="AA25" i="12"/>
  <c r="Y25" i="12"/>
  <c r="W25" i="12"/>
  <c r="U25" i="12"/>
  <c r="S25" i="12"/>
  <c r="Q25" i="12"/>
  <c r="O25" i="12"/>
  <c r="M25" i="12"/>
  <c r="K25" i="12"/>
  <c r="I25" i="12"/>
  <c r="G25" i="12"/>
  <c r="E25" i="12"/>
  <c r="C25" i="12"/>
  <c r="R20" i="12"/>
  <c r="T20" i="12"/>
  <c r="V20" i="12"/>
  <c r="X20" i="12"/>
  <c r="Z20" i="12"/>
  <c r="AB20" i="12"/>
  <c r="AD20" i="12"/>
  <c r="AF20" i="12"/>
  <c r="P20" i="12"/>
  <c r="R9" i="13" l="1"/>
  <c r="S9" i="13" s="1"/>
  <c r="T9" i="13" s="1"/>
  <c r="U9" i="13" s="1"/>
  <c r="V9" i="13" s="1"/>
  <c r="W9" i="13" s="1"/>
  <c r="X9" i="13" s="1"/>
  <c r="Y9" i="13" s="1"/>
  <c r="Z9" i="13" s="1"/>
  <c r="AA9" i="13" s="1"/>
  <c r="AB9" i="13" s="1"/>
  <c r="AC9" i="13" s="1"/>
  <c r="AD9" i="13" s="1"/>
  <c r="AE9" i="13" s="1"/>
  <c r="AF9" i="13" s="1"/>
  <c r="AG9" i="13" s="1"/>
  <c r="AF30" i="12"/>
  <c r="AD30" i="12"/>
  <c r="AB30" i="12"/>
  <c r="Z30" i="12"/>
  <c r="X30" i="12"/>
  <c r="V30" i="12"/>
  <c r="T30" i="12"/>
  <c r="R30" i="12"/>
  <c r="P30" i="12"/>
  <c r="N30" i="12"/>
  <c r="L30" i="12"/>
  <c r="J30" i="12"/>
  <c r="H30" i="12"/>
  <c r="F30" i="12"/>
  <c r="D30" i="12"/>
  <c r="S22" i="4" l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S24" i="4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H25" i="4" s="1"/>
  <c r="E7" i="4" l="1"/>
  <c r="F7" i="4" s="1"/>
  <c r="G7" i="4" s="1"/>
  <c r="H7" i="4" s="1"/>
  <c r="I7" i="4" s="1"/>
  <c r="J7" i="4" s="1"/>
  <c r="K7" i="4" s="1"/>
  <c r="L7" i="4" s="1"/>
  <c r="M7" i="4" s="1"/>
  <c r="N7" i="4" s="1"/>
  <c r="E9" i="4"/>
  <c r="F9" i="4" s="1"/>
  <c r="G9" i="4" s="1"/>
  <c r="H9" i="4" s="1"/>
  <c r="I9" i="4" s="1"/>
  <c r="J9" i="4" s="1"/>
  <c r="K9" i="4" s="1"/>
  <c r="L9" i="4" s="1"/>
  <c r="M9" i="4" s="1"/>
  <c r="E12" i="4"/>
  <c r="F12" i="4" s="1"/>
  <c r="G12" i="4" s="1"/>
  <c r="H12" i="4" s="1"/>
  <c r="I12" i="4" s="1"/>
  <c r="J12" i="4" s="1"/>
  <c r="K12" i="4" s="1"/>
  <c r="L12" i="4" s="1"/>
  <c r="M12" i="4" s="1"/>
  <c r="N12" i="4" s="1"/>
  <c r="E14" i="4"/>
  <c r="F14" i="4" s="1"/>
  <c r="G14" i="4" s="1"/>
  <c r="H14" i="4" s="1"/>
  <c r="I14" i="4" s="1"/>
  <c r="J14" i="4" s="1"/>
  <c r="K14" i="4" s="1"/>
  <c r="L14" i="4" s="1"/>
  <c r="M14" i="4" s="1"/>
  <c r="S14" i="4" l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N14" i="4"/>
  <c r="O14" i="4" s="1"/>
  <c r="P14" i="4" s="1"/>
  <c r="Q14" i="4" s="1"/>
  <c r="S9" i="4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N9" i="4"/>
  <c r="O9" i="4" s="1"/>
  <c r="P9" i="4" s="1"/>
  <c r="Q9" i="4" s="1"/>
  <c r="R12" i="4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O12" i="4"/>
  <c r="P12" i="4" s="1"/>
  <c r="Q12" i="4" s="1"/>
  <c r="O7" i="4"/>
  <c r="P7" i="4" s="1"/>
  <c r="Q7" i="4" s="1"/>
  <c r="R7" i="4" s="1"/>
  <c r="T7" i="4" s="1"/>
  <c r="U7" i="4" s="1"/>
  <c r="V7" i="4" s="1"/>
  <c r="W7" i="4" s="1"/>
  <c r="X7" i="4" s="1"/>
  <c r="Y7" i="4" s="1"/>
  <c r="Z7" i="4" s="1"/>
  <c r="AA7" i="4" s="1"/>
  <c r="AB7" i="4" s="1"/>
  <c r="AC7" i="4" s="1"/>
  <c r="AD7" i="4" s="1"/>
  <c r="AE7" i="4" s="1"/>
  <c r="AF7" i="4" s="1"/>
  <c r="AG7" i="4" s="1"/>
  <c r="AH7" i="4" s="1"/>
  <c r="AC45" i="4"/>
  <c r="AB45" i="4"/>
  <c r="AA45" i="4"/>
  <c r="Z45" i="4"/>
  <c r="X45" i="4"/>
  <c r="V45" i="4"/>
  <c r="U45" i="4"/>
  <c r="T45" i="4"/>
  <c r="S45" i="4"/>
  <c r="AH15" i="4" l="1"/>
  <c r="D45" i="4"/>
  <c r="Q37" i="12" l="1"/>
  <c r="S37" i="12" s="1"/>
  <c r="T37" i="12" s="1"/>
  <c r="U37" i="12" s="1"/>
  <c r="V37" i="12" s="1"/>
  <c r="W37" i="12" s="1"/>
  <c r="X37" i="12" s="1"/>
  <c r="Y37" i="12" s="1"/>
  <c r="Z37" i="12" s="1"/>
  <c r="AA37" i="12" s="1"/>
  <c r="AB37" i="12" s="1"/>
  <c r="AC37" i="12" s="1"/>
  <c r="AD37" i="12" s="1"/>
  <c r="AE37" i="12" s="1"/>
  <c r="AF37" i="12" s="1"/>
  <c r="Q38" i="12"/>
  <c r="R38" i="12" s="1"/>
  <c r="S38" i="12" s="1"/>
  <c r="T38" i="12" s="1"/>
  <c r="U38" i="12" s="1"/>
  <c r="V38" i="12" s="1"/>
  <c r="W38" i="12" s="1"/>
  <c r="X38" i="12" s="1"/>
  <c r="Y38" i="12" s="1"/>
  <c r="Z38" i="12" s="1"/>
  <c r="AA38" i="12" s="1"/>
  <c r="AB38" i="12" s="1"/>
  <c r="AC38" i="12" s="1"/>
  <c r="AD38" i="12" s="1"/>
  <c r="AE38" i="12" s="1"/>
  <c r="AF38" i="12" s="1"/>
  <c r="AG38" i="12" s="1"/>
  <c r="Q36" i="12"/>
  <c r="R36" i="12" s="1"/>
  <c r="S36" i="12" s="1"/>
  <c r="T36" i="12" s="1"/>
  <c r="U36" i="12" s="1"/>
  <c r="V36" i="12" s="1"/>
  <c r="W36" i="12" s="1"/>
  <c r="X36" i="12" s="1"/>
  <c r="Y36" i="12" s="1"/>
  <c r="Z36" i="12" s="1"/>
  <c r="AA36" i="12" s="1"/>
  <c r="AB36" i="12" s="1"/>
  <c r="AC36" i="12" s="1"/>
  <c r="AD36" i="12" s="1"/>
  <c r="AE36" i="12" s="1"/>
  <c r="AF36" i="12" s="1"/>
  <c r="C40" i="12"/>
  <c r="AE35" i="12"/>
  <c r="AC35" i="12"/>
  <c r="AA35" i="12"/>
  <c r="Y35" i="12"/>
  <c r="S35" i="12"/>
  <c r="Q35" i="12"/>
  <c r="O35" i="12"/>
  <c r="M35" i="12"/>
  <c r="K35" i="12"/>
  <c r="I35" i="12"/>
  <c r="G35" i="12"/>
  <c r="E35" i="12"/>
  <c r="C35" i="12"/>
  <c r="N20" i="12"/>
  <c r="L20" i="12"/>
  <c r="J20" i="12"/>
  <c r="H20" i="12"/>
  <c r="F20" i="12"/>
  <c r="D20" i="12"/>
  <c r="C15" i="12"/>
  <c r="D12" i="12"/>
  <c r="E12" i="12" s="1"/>
  <c r="F12" i="12" s="1"/>
  <c r="G12" i="12" s="1"/>
  <c r="H12" i="12" s="1"/>
  <c r="I12" i="12" s="1"/>
  <c r="J12" i="12" s="1"/>
  <c r="K12" i="12" s="1"/>
  <c r="L12" i="12" s="1"/>
  <c r="D11" i="12"/>
  <c r="E11" i="12" s="1"/>
  <c r="F11" i="12" s="1"/>
  <c r="G11" i="12" s="1"/>
  <c r="H11" i="12" s="1"/>
  <c r="I11" i="12" s="1"/>
  <c r="J11" i="12" s="1"/>
  <c r="K11" i="12" s="1"/>
  <c r="L11" i="12" s="1"/>
  <c r="M11" i="12" s="1"/>
  <c r="N11" i="12" s="1"/>
  <c r="O11" i="12" s="1"/>
  <c r="P11" i="12" s="1"/>
  <c r="Q11" i="12" s="1"/>
  <c r="R11" i="12" s="1"/>
  <c r="S11" i="12" s="1"/>
  <c r="T11" i="12" s="1"/>
  <c r="U11" i="12" s="1"/>
  <c r="V11" i="12" s="1"/>
  <c r="W11" i="12" s="1"/>
  <c r="X11" i="12" s="1"/>
  <c r="Y11" i="12" s="1"/>
  <c r="Z11" i="12" s="1"/>
  <c r="AA11" i="12" s="1"/>
  <c r="AB11" i="12" s="1"/>
  <c r="AC11" i="12" s="1"/>
  <c r="AD11" i="12" s="1"/>
  <c r="AE11" i="12" s="1"/>
  <c r="AF11" i="12" s="1"/>
  <c r="D9" i="12"/>
  <c r="E9" i="12" s="1"/>
  <c r="D8" i="12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AF8" i="12" s="1"/>
  <c r="AG8" i="12" s="1"/>
  <c r="C10" i="12"/>
  <c r="D7" i="12"/>
  <c r="E7" i="12" s="1"/>
  <c r="F7" i="12" s="1"/>
  <c r="G7" i="12" s="1"/>
  <c r="H7" i="12" s="1"/>
  <c r="I7" i="12" s="1"/>
  <c r="J7" i="12" s="1"/>
  <c r="K7" i="12" s="1"/>
  <c r="L7" i="12" s="1"/>
  <c r="N10" i="13"/>
  <c r="C10" i="13"/>
  <c r="Q7" i="13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AC7" i="13" s="1"/>
  <c r="AD7" i="13" s="1"/>
  <c r="AE7" i="13" s="1"/>
  <c r="AF7" i="13" s="1"/>
  <c r="AG7" i="13" s="1"/>
  <c r="AG10" i="13" s="1"/>
  <c r="D10" i="13"/>
  <c r="S7" i="12" l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M7" i="12"/>
  <c r="N7" i="12" s="1"/>
  <c r="O7" i="12" s="1"/>
  <c r="P7" i="12" s="1"/>
  <c r="Q7" i="12" s="1"/>
  <c r="R12" i="12"/>
  <c r="S12" i="12" s="1"/>
  <c r="T12" i="12" s="1"/>
  <c r="U12" i="12" s="1"/>
  <c r="V12" i="12" s="1"/>
  <c r="W12" i="12" s="1"/>
  <c r="X12" i="12" s="1"/>
  <c r="Y12" i="12" s="1"/>
  <c r="Z12" i="12" s="1"/>
  <c r="AA12" i="12" s="1"/>
  <c r="AB12" i="12" s="1"/>
  <c r="AC12" i="12" s="1"/>
  <c r="AD12" i="12" s="1"/>
  <c r="AE12" i="12" s="1"/>
  <c r="AF12" i="12" s="1"/>
  <c r="M12" i="12"/>
  <c r="N12" i="12" s="1"/>
  <c r="O12" i="12" s="1"/>
  <c r="P12" i="12" s="1"/>
  <c r="P15" i="12" s="1"/>
  <c r="K10" i="13"/>
  <c r="G10" i="13"/>
  <c r="L10" i="13"/>
  <c r="H10" i="13"/>
  <c r="J10" i="13"/>
  <c r="F10" i="13"/>
  <c r="M10" i="13"/>
  <c r="I10" i="13"/>
  <c r="E10" i="13"/>
  <c r="AA10" i="13"/>
  <c r="AE10" i="13"/>
  <c r="S10" i="13"/>
  <c r="AD10" i="13"/>
  <c r="AC10" i="13"/>
  <c r="Y10" i="13"/>
  <c r="U10" i="13"/>
  <c r="Q10" i="13"/>
  <c r="W10" i="13"/>
  <c r="O10" i="13"/>
  <c r="Z10" i="13"/>
  <c r="V10" i="13"/>
  <c r="R10" i="13"/>
  <c r="AF10" i="13"/>
  <c r="AB10" i="13"/>
  <c r="X10" i="13"/>
  <c r="T10" i="13"/>
  <c r="P10" i="13"/>
  <c r="D40" i="12"/>
  <c r="D15" i="12"/>
  <c r="F9" i="12"/>
  <c r="E10" i="12"/>
  <c r="AF15" i="12"/>
  <c r="AB15" i="12"/>
  <c r="X15" i="12"/>
  <c r="T15" i="12"/>
  <c r="L15" i="12"/>
  <c r="H15" i="12"/>
  <c r="D10" i="12"/>
  <c r="AE15" i="12"/>
  <c r="AA15" i="12"/>
  <c r="W15" i="12"/>
  <c r="S15" i="12"/>
  <c r="K15" i="12"/>
  <c r="G15" i="12"/>
  <c r="AD15" i="12"/>
  <c r="Z15" i="12"/>
  <c r="V15" i="12"/>
  <c r="R15" i="12"/>
  <c r="J15" i="12"/>
  <c r="F15" i="12"/>
  <c r="AC15" i="12"/>
  <c r="Y15" i="12"/>
  <c r="U15" i="12"/>
  <c r="Q15" i="12"/>
  <c r="M15" i="12"/>
  <c r="I15" i="12"/>
  <c r="E15" i="12"/>
  <c r="U30" i="4"/>
  <c r="S30" i="4"/>
  <c r="E30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V25" i="4"/>
  <c r="W25" i="4"/>
  <c r="X25" i="4"/>
  <c r="Y25" i="4"/>
  <c r="Z25" i="4"/>
  <c r="AA25" i="4"/>
  <c r="AB25" i="4"/>
  <c r="AC25" i="4"/>
  <c r="AD25" i="4"/>
  <c r="AE25" i="4"/>
  <c r="AF25" i="4"/>
  <c r="AG25" i="4"/>
  <c r="D25" i="4"/>
  <c r="E35" i="4"/>
  <c r="R20" i="4"/>
  <c r="T20" i="4"/>
  <c r="V20" i="4"/>
  <c r="X20" i="4"/>
  <c r="Z20" i="4"/>
  <c r="AB20" i="4"/>
  <c r="AD20" i="4"/>
  <c r="AF20" i="4"/>
  <c r="D20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D15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D10" i="4"/>
  <c r="N15" i="12" l="1"/>
  <c r="O15" i="12"/>
  <c r="E40" i="12"/>
  <c r="G9" i="12"/>
  <c r="F10" i="12"/>
  <c r="H9" i="12" l="1"/>
  <c r="G10" i="12"/>
  <c r="F40" i="12"/>
  <c r="G40" i="12" l="1"/>
  <c r="I9" i="12"/>
  <c r="H10" i="12"/>
  <c r="J9" i="12" l="1"/>
  <c r="I10" i="12"/>
  <c r="H40" i="12"/>
  <c r="I40" i="12" l="1"/>
  <c r="K9" i="12"/>
  <c r="J10" i="12"/>
  <c r="L9" i="12" l="1"/>
  <c r="M9" i="12" s="1"/>
  <c r="N9" i="12" s="1"/>
  <c r="O9" i="12" s="1"/>
  <c r="P9" i="12" s="1"/>
  <c r="K10" i="12"/>
  <c r="J40" i="12"/>
  <c r="J10" i="5"/>
  <c r="K40" i="12" l="1"/>
  <c r="L10" i="12"/>
  <c r="M10" i="12" l="1"/>
  <c r="L40" i="12"/>
  <c r="M40" i="12" l="1"/>
  <c r="N10" i="12"/>
  <c r="O10" i="12" l="1"/>
  <c r="N40" i="12"/>
  <c r="O40" i="12" l="1"/>
  <c r="P10" i="12"/>
  <c r="R9" i="12" l="1"/>
  <c r="Q10" i="12"/>
  <c r="P40" i="12"/>
  <c r="R39" i="12" l="1"/>
  <c r="Q40" i="12"/>
  <c r="S9" i="12"/>
  <c r="R10" i="12"/>
  <c r="T9" i="12" l="1"/>
  <c r="S10" i="12"/>
  <c r="S39" i="12"/>
  <c r="R40" i="12"/>
  <c r="T39" i="12" l="1"/>
  <c r="S40" i="12"/>
  <c r="U9" i="12"/>
  <c r="T10" i="12"/>
  <c r="V9" i="12" l="1"/>
  <c r="U10" i="12"/>
  <c r="U39" i="12"/>
  <c r="T40" i="12"/>
  <c r="V39" i="12" l="1"/>
  <c r="U40" i="12"/>
  <c r="W9" i="12"/>
  <c r="V10" i="12"/>
  <c r="X9" i="12" l="1"/>
  <c r="W10" i="12"/>
  <c r="W39" i="12"/>
  <c r="V40" i="12"/>
  <c r="X39" i="12" l="1"/>
  <c r="W40" i="12"/>
  <c r="Y9" i="12"/>
  <c r="X10" i="12"/>
  <c r="Z9" i="12" l="1"/>
  <c r="Y10" i="12"/>
  <c r="Y39" i="12"/>
  <c r="X40" i="12"/>
  <c r="Z39" i="12" l="1"/>
  <c r="Y40" i="12"/>
  <c r="AA9" i="12"/>
  <c r="Z10" i="12"/>
  <c r="AB9" i="12" l="1"/>
  <c r="AA10" i="12"/>
  <c r="AA39" i="12"/>
  <c r="Z40" i="12"/>
  <c r="AB39" i="12" l="1"/>
  <c r="AA40" i="12"/>
  <c r="AC9" i="12"/>
  <c r="AB10" i="12"/>
  <c r="AD9" i="12" l="1"/>
  <c r="AC10" i="12"/>
  <c r="AC39" i="12"/>
  <c r="AB40" i="12"/>
  <c r="AD39" i="12" l="1"/>
  <c r="AC40" i="12"/>
  <c r="AE9" i="12"/>
  <c r="AD10" i="12"/>
  <c r="AF9" i="12" l="1"/>
  <c r="AE10" i="12"/>
  <c r="AE39" i="12"/>
  <c r="AD40" i="12"/>
  <c r="AF39" i="12" l="1"/>
  <c r="AE40" i="12"/>
  <c r="AF10" i="12"/>
  <c r="AF40" i="12" l="1"/>
</calcChain>
</file>

<file path=xl/sharedStrings.xml><?xml version="1.0" encoding="utf-8"?>
<sst xmlns="http://schemas.openxmlformats.org/spreadsheetml/2006/main" count="431" uniqueCount="35">
  <si>
    <t>наименование операций</t>
  </si>
  <si>
    <t>ТЧЭ</t>
  </si>
  <si>
    <t>пн</t>
  </si>
  <si>
    <t>ср</t>
  </si>
  <si>
    <t>чт</t>
  </si>
  <si>
    <t>пт</t>
  </si>
  <si>
    <t>сб</t>
  </si>
  <si>
    <t>вс</t>
  </si>
  <si>
    <t>отцепка лок-ва от поезда</t>
  </si>
  <si>
    <t>прицепка лок-ва к поезду</t>
  </si>
  <si>
    <t>время отправления поезда</t>
  </si>
  <si>
    <t>время простоя локомотива</t>
  </si>
  <si>
    <t>вт</t>
  </si>
  <si>
    <t>вр.прибытие поезда</t>
  </si>
  <si>
    <t>ТЧЭ-6</t>
  </si>
  <si>
    <t>ТЧЭ-4</t>
  </si>
  <si>
    <t>ТЧЭ-3</t>
  </si>
  <si>
    <r>
      <rPr>
        <b/>
        <sz val="11"/>
        <color theme="1"/>
        <rFont val="Calibri"/>
        <family val="2"/>
        <charset val="204"/>
        <scheme val="minor"/>
      </rPr>
      <t>Примечание:</t>
    </r>
    <r>
      <rPr>
        <sz val="11"/>
        <color theme="1"/>
        <rFont val="Calibri"/>
        <family val="2"/>
        <scheme val="minor"/>
      </rPr>
      <t xml:space="preserve"> пригородный поезд 6993/6994 Узень-Болашак простаивает ожидании по ст.Узень</t>
    </r>
  </si>
  <si>
    <t>ТЧЭ-36</t>
  </si>
  <si>
    <t>Обслуживается локомотивом ТЭ33А</t>
  </si>
  <si>
    <t>ТЧЭ-20</t>
  </si>
  <si>
    <t>ТЧЭ-2</t>
  </si>
  <si>
    <t xml:space="preserve">График подвязки пассажирских локомотивов по  станции Мангыстау </t>
  </si>
  <si>
    <t>График подвязки пассажирских локомотивов по пункту оборота станции Бейнеу</t>
  </si>
  <si>
    <t xml:space="preserve">График подвязки пассажирских локомотивов по станции Актобе </t>
  </si>
  <si>
    <t xml:space="preserve">График подвязки пассажирских локомотивов по пункту оборота станции Макат </t>
  </si>
  <si>
    <t>График подвязки пассажирских локомотивов по  станции Атырау</t>
  </si>
  <si>
    <t>Обслуживается локомотивом ТЭП33А и ТЭ33А</t>
  </si>
  <si>
    <t>отцепка лок-ва №0250 от поезда</t>
  </si>
  <si>
    <t>прицепка лок-ва №0250 к поезду</t>
  </si>
  <si>
    <t xml:space="preserve">отцепка лок-ва от поезда </t>
  </si>
  <si>
    <t>декабрь</t>
  </si>
  <si>
    <t>ТЛ-4</t>
  </si>
  <si>
    <t>ТЛ-09</t>
  </si>
  <si>
    <t>ТЛ-2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</si>
</sst>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4"/>
      <name val="Times New Roman"/>
      <family val="1"/>
      <charset val="204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3" borderId="0" xfId="0" applyFont="1" applyFill="1"/>
    <xf numFmtId="20" fontId="4" fillId="0" borderId="1" xfId="0" applyNumberFormat="1" applyFont="1" applyBorder="1" applyAlignment="1">
      <alignment horizontal="center"/>
    </xf>
    <xf numFmtId="0" fontId="6" fillId="0" borderId="0" xfId="0" applyFont="1"/>
    <xf numFmtId="0" fontId="1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/>
    <xf numFmtId="0" fontId="2" fillId="0" borderId="4" xfId="0" applyFont="1" applyBorder="1" applyAlignment="1">
      <alignment horizontal="left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20" fontId="4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8" fillId="0" borderId="17" xfId="0" applyFont="1" applyBorder="1"/>
    <xf numFmtId="20" fontId="7" fillId="0" borderId="18" xfId="0" applyNumberFormat="1" applyFont="1" applyBorder="1" applyAlignment="1">
      <alignment horizontal="center"/>
    </xf>
    <xf numFmtId="20" fontId="7" fillId="0" borderId="19" xfId="0" applyNumberFormat="1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20" fontId="4" fillId="0" borderId="20" xfId="0" applyNumberFormat="1" applyFont="1" applyBorder="1" applyAlignment="1">
      <alignment horizontal="center"/>
    </xf>
    <xf numFmtId="0" fontId="2" fillId="0" borderId="23" xfId="0" applyFont="1" applyBorder="1" applyAlignment="1">
      <alignment horizontal="left"/>
    </xf>
    <xf numFmtId="0" fontId="1" fillId="0" borderId="24" xfId="0" applyFont="1" applyBorder="1" applyAlignment="1">
      <alignment horizontal="right"/>
    </xf>
    <xf numFmtId="0" fontId="2" fillId="0" borderId="24" xfId="0" applyFont="1" applyBorder="1" applyAlignment="1">
      <alignment horizontal="left"/>
    </xf>
    <xf numFmtId="0" fontId="8" fillId="0" borderId="25" xfId="0" applyFont="1" applyBorder="1"/>
    <xf numFmtId="0" fontId="2" fillId="0" borderId="26" xfId="0" applyFont="1" applyBorder="1" applyAlignment="1">
      <alignment horizontal="left"/>
    </xf>
    <xf numFmtId="0" fontId="8" fillId="0" borderId="27" xfId="0" applyFont="1" applyBorder="1"/>
    <xf numFmtId="0" fontId="5" fillId="0" borderId="28" xfId="0" applyFont="1" applyBorder="1" applyAlignment="1">
      <alignment horizontal="center"/>
    </xf>
    <xf numFmtId="20" fontId="7" fillId="0" borderId="29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49" fontId="7" fillId="0" borderId="29" xfId="0" applyNumberFormat="1" applyFont="1" applyBorder="1" applyAlignment="1">
      <alignment horizontal="center"/>
    </xf>
    <xf numFmtId="0" fontId="10" fillId="3" borderId="9" xfId="0" applyFont="1" applyFill="1" applyBorder="1"/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20" fontId="7" fillId="0" borderId="17" xfId="0" applyNumberFormat="1" applyFont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20" fontId="4" fillId="3" borderId="20" xfId="0" applyNumberFormat="1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20" fontId="6" fillId="3" borderId="20" xfId="0" applyNumberFormat="1" applyFont="1" applyFill="1" applyBorder="1" applyAlignment="1">
      <alignment horizontal="center"/>
    </xf>
    <xf numFmtId="20" fontId="7" fillId="3" borderId="30" xfId="0" applyNumberFormat="1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20" fontId="4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20" fontId="7" fillId="3" borderId="18" xfId="0" applyNumberFormat="1" applyFont="1" applyFill="1" applyBorder="1" applyAlignment="1">
      <alignment horizontal="center"/>
    </xf>
    <xf numFmtId="20" fontId="7" fillId="3" borderId="29" xfId="0" applyNumberFormat="1" applyFont="1" applyFill="1" applyBorder="1" applyAlignment="1">
      <alignment horizontal="center"/>
    </xf>
    <xf numFmtId="49" fontId="7" fillId="3" borderId="29" xfId="0" applyNumberFormat="1" applyFont="1" applyFill="1" applyBorder="1" applyAlignment="1">
      <alignment horizontal="center"/>
    </xf>
    <xf numFmtId="20" fontId="6" fillId="3" borderId="1" xfId="0" applyNumberFormat="1" applyFont="1" applyFill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0" fillId="0" borderId="35" xfId="0" applyBorder="1"/>
    <xf numFmtId="0" fontId="13" fillId="0" borderId="0" xfId="0" applyFont="1"/>
    <xf numFmtId="22" fontId="0" fillId="0" borderId="0" xfId="0" applyNumberFormat="1"/>
    <xf numFmtId="0" fontId="2" fillId="0" borderId="39" xfId="0" applyFont="1" applyBorder="1" applyAlignment="1">
      <alignment horizontal="left"/>
    </xf>
    <xf numFmtId="0" fontId="2" fillId="0" borderId="39" xfId="0" applyFont="1" applyBorder="1" applyAlignment="1">
      <alignment horizontal="center" vertical="center"/>
    </xf>
    <xf numFmtId="49" fontId="7" fillId="3" borderId="18" xfId="0" applyNumberFormat="1" applyFont="1" applyFill="1" applyBorder="1" applyAlignment="1">
      <alignment horizontal="center"/>
    </xf>
    <xf numFmtId="0" fontId="0" fillId="3" borderId="0" xfId="0" applyFill="1"/>
    <xf numFmtId="0" fontId="5" fillId="3" borderId="34" xfId="0" applyFont="1" applyFill="1" applyBorder="1" applyAlignment="1">
      <alignment horizontal="center"/>
    </xf>
    <xf numFmtId="0" fontId="7" fillId="3" borderId="34" xfId="0" applyFont="1" applyFill="1" applyBorder="1" applyAlignment="1">
      <alignment horizontal="center"/>
    </xf>
    <xf numFmtId="0" fontId="0" fillId="3" borderId="35" xfId="0" applyFill="1" applyBorder="1"/>
    <xf numFmtId="0" fontId="0" fillId="3" borderId="1" xfId="0" applyFill="1" applyBorder="1"/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2" fillId="0" borderId="3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8" fillId="0" borderId="33" xfId="0" applyFont="1" applyBorder="1"/>
    <xf numFmtId="0" fontId="7" fillId="3" borderId="28" xfId="0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20" fontId="4" fillId="3" borderId="5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42" xfId="0" applyFont="1" applyFill="1" applyBorder="1" applyAlignment="1">
      <alignment horizontal="center"/>
    </xf>
    <xf numFmtId="20" fontId="4" fillId="3" borderId="43" xfId="0" applyNumberFormat="1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11" fillId="0" borderId="0" xfId="0" applyFont="1" applyAlignment="1">
      <alignment horizontal="center" vertical="center" textRotation="90"/>
    </xf>
    <xf numFmtId="20" fontId="7" fillId="3" borderId="17" xfId="0" applyNumberFormat="1" applyFont="1" applyFill="1" applyBorder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20" fontId="7" fillId="3" borderId="0" xfId="0" applyNumberFormat="1" applyFont="1" applyFill="1" applyAlignment="1">
      <alignment horizontal="center"/>
    </xf>
    <xf numFmtId="0" fontId="1" fillId="0" borderId="22" xfId="0" applyFont="1" applyBorder="1" applyAlignment="1">
      <alignment horizontal="center"/>
    </xf>
    <xf numFmtId="0" fontId="5" fillId="3" borderId="44" xfId="0" applyFont="1" applyFill="1" applyBorder="1" applyAlignment="1">
      <alignment horizontal="center"/>
    </xf>
    <xf numFmtId="20" fontId="4" fillId="3" borderId="45" xfId="0" applyNumberFormat="1" applyFont="1" applyFill="1" applyBorder="1" applyAlignment="1">
      <alignment horizontal="center"/>
    </xf>
    <xf numFmtId="0" fontId="5" fillId="3" borderId="45" xfId="0" applyFont="1" applyFill="1" applyBorder="1" applyAlignment="1">
      <alignment horizontal="center"/>
    </xf>
    <xf numFmtId="20" fontId="7" fillId="3" borderId="46" xfId="0" applyNumberFormat="1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20" fontId="4" fillId="3" borderId="47" xfId="0" applyNumberFormat="1" applyFont="1" applyFill="1" applyBorder="1" applyAlignment="1">
      <alignment horizontal="center"/>
    </xf>
    <xf numFmtId="0" fontId="5" fillId="3" borderId="47" xfId="0" applyFont="1" applyFill="1" applyBorder="1" applyAlignment="1">
      <alignment horizontal="center"/>
    </xf>
    <xf numFmtId="0" fontId="9" fillId="3" borderId="47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5" fillId="3" borderId="2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center" vertical="center" textRotation="90"/>
    </xf>
    <xf numFmtId="0" fontId="11" fillId="0" borderId="0" xfId="0" applyFont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FF66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7"/>
  <sheetViews>
    <sheetView tabSelected="1" view="pageBreakPreview" zoomScale="60" zoomScaleNormal="70" workbookViewId="0">
      <selection activeCell="D3" sqref="D3:AH4"/>
    </sheetView>
  </sheetViews>
  <sheetFormatPr defaultRowHeight="15" x14ac:dyDescent="0.25"/>
  <cols>
    <col min="1" max="1" width="4.140625" customWidth="1"/>
    <col min="2" max="2" width="52.42578125" customWidth="1"/>
    <col min="5" max="5" width="11.140625" customWidth="1"/>
    <col min="6" max="6" width="10" customWidth="1"/>
    <col min="8" max="8" width="9.28515625" customWidth="1"/>
    <col min="9" max="9" width="10.42578125" customWidth="1"/>
    <col min="13" max="13" width="10.5703125" customWidth="1"/>
    <col min="15" max="15" width="10.140625" customWidth="1"/>
    <col min="17" max="17" width="10.85546875" customWidth="1"/>
    <col min="19" max="19" width="10.42578125" customWidth="1"/>
    <col min="21" max="21" width="10.5703125" customWidth="1"/>
    <col min="25" max="25" width="10.28515625" customWidth="1"/>
    <col min="29" max="29" width="10.5703125" customWidth="1"/>
    <col min="33" max="33" width="11.42578125" customWidth="1"/>
  </cols>
  <sheetData>
    <row r="1" spans="1:36" ht="16.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14" t="s">
        <v>22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6" s="1" customFormat="1" ht="16.5" thickBot="1" x14ac:dyDescent="0.3">
      <c r="B2" s="7"/>
      <c r="C2" s="7"/>
      <c r="D2" s="111" t="s">
        <v>31</v>
      </c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3"/>
    </row>
    <row r="3" spans="1:36" s="1" customFormat="1" ht="15.75" x14ac:dyDescent="0.25">
      <c r="B3" s="115" t="s">
        <v>0</v>
      </c>
      <c r="C3" s="117" t="s">
        <v>1</v>
      </c>
      <c r="D3" s="10">
        <v>1</v>
      </c>
      <c r="E3" s="11">
        <v>2</v>
      </c>
      <c r="F3" s="11">
        <v>3</v>
      </c>
      <c r="G3" s="11">
        <v>4</v>
      </c>
      <c r="H3" s="11">
        <v>5</v>
      </c>
      <c r="I3" s="11">
        <v>6</v>
      </c>
      <c r="J3" s="11">
        <v>7</v>
      </c>
      <c r="K3" s="11">
        <v>8</v>
      </c>
      <c r="L3" s="11">
        <v>9</v>
      </c>
      <c r="M3" s="11">
        <v>10</v>
      </c>
      <c r="N3" s="11">
        <v>11</v>
      </c>
      <c r="O3" s="11">
        <v>12</v>
      </c>
      <c r="P3" s="11">
        <v>13</v>
      </c>
      <c r="Q3" s="11">
        <v>14</v>
      </c>
      <c r="R3" s="11">
        <v>15</v>
      </c>
      <c r="S3" s="11">
        <v>16</v>
      </c>
      <c r="T3" s="11">
        <v>17</v>
      </c>
      <c r="U3" s="11">
        <v>18</v>
      </c>
      <c r="V3" s="11">
        <v>19</v>
      </c>
      <c r="W3" s="11">
        <v>20</v>
      </c>
      <c r="X3" s="11">
        <v>21</v>
      </c>
      <c r="Y3" s="11">
        <v>22</v>
      </c>
      <c r="Z3" s="11">
        <v>23</v>
      </c>
      <c r="AA3" s="11">
        <v>24</v>
      </c>
      <c r="AB3" s="11">
        <v>25</v>
      </c>
      <c r="AC3" s="11">
        <v>26</v>
      </c>
      <c r="AD3" s="12">
        <v>27</v>
      </c>
      <c r="AE3" s="12">
        <v>28</v>
      </c>
      <c r="AF3" s="11">
        <v>29</v>
      </c>
      <c r="AG3" s="11">
        <v>30</v>
      </c>
      <c r="AH3" s="14">
        <v>31</v>
      </c>
    </row>
    <row r="4" spans="1:36" s="1" customFormat="1" ht="16.5" thickBot="1" x14ac:dyDescent="0.3">
      <c r="B4" s="116"/>
      <c r="C4" s="118"/>
      <c r="D4" s="15" t="s">
        <v>7</v>
      </c>
      <c r="E4" s="96" t="s">
        <v>2</v>
      </c>
      <c r="F4" s="74" t="s">
        <v>12</v>
      </c>
      <c r="G4" s="96" t="s">
        <v>3</v>
      </c>
      <c r="H4" s="74" t="s">
        <v>4</v>
      </c>
      <c r="I4" s="96" t="s">
        <v>5</v>
      </c>
      <c r="J4" s="74" t="s">
        <v>6</v>
      </c>
      <c r="K4" s="96" t="s">
        <v>7</v>
      </c>
      <c r="L4" s="74" t="s">
        <v>2</v>
      </c>
      <c r="M4" s="96" t="s">
        <v>12</v>
      </c>
      <c r="N4" s="74" t="s">
        <v>3</v>
      </c>
      <c r="O4" s="96" t="s">
        <v>4</v>
      </c>
      <c r="P4" s="74" t="s">
        <v>5</v>
      </c>
      <c r="Q4" s="96" t="s">
        <v>6</v>
      </c>
      <c r="R4" s="74" t="s">
        <v>7</v>
      </c>
      <c r="S4" s="96" t="s">
        <v>2</v>
      </c>
      <c r="T4" s="74" t="s">
        <v>12</v>
      </c>
      <c r="U4" s="96" t="s">
        <v>3</v>
      </c>
      <c r="V4" s="74" t="s">
        <v>4</v>
      </c>
      <c r="W4" s="96" t="s">
        <v>5</v>
      </c>
      <c r="X4" s="74" t="s">
        <v>6</v>
      </c>
      <c r="Y4" s="96" t="s">
        <v>7</v>
      </c>
      <c r="Z4" s="74" t="s">
        <v>2</v>
      </c>
      <c r="AA4" s="96" t="s">
        <v>12</v>
      </c>
      <c r="AB4" s="74" t="s">
        <v>3</v>
      </c>
      <c r="AC4" s="96" t="s">
        <v>4</v>
      </c>
      <c r="AD4" s="74" t="s">
        <v>5</v>
      </c>
      <c r="AE4" s="96" t="s">
        <v>6</v>
      </c>
      <c r="AF4" s="74" t="s">
        <v>7</v>
      </c>
      <c r="AG4" s="96" t="s">
        <v>2</v>
      </c>
      <c r="AH4" s="74" t="s">
        <v>12</v>
      </c>
    </row>
    <row r="5" spans="1:36" ht="20.25" thickBot="1" x14ac:dyDescent="0.4">
      <c r="A5" s="38"/>
      <c r="B5" s="108" t="s">
        <v>27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/>
    </row>
    <row r="6" spans="1:36" s="4" customFormat="1" ht="15.75" x14ac:dyDescent="0.25">
      <c r="B6" s="18" t="s">
        <v>30</v>
      </c>
      <c r="C6" s="39" t="s">
        <v>14</v>
      </c>
      <c r="D6" s="19">
        <v>110</v>
      </c>
      <c r="E6" s="19">
        <v>110</v>
      </c>
      <c r="F6" s="19">
        <v>110</v>
      </c>
      <c r="G6" s="19">
        <v>110</v>
      </c>
      <c r="H6" s="19">
        <v>110</v>
      </c>
      <c r="I6" s="19">
        <v>110</v>
      </c>
      <c r="J6" s="19">
        <v>110</v>
      </c>
      <c r="K6" s="19">
        <v>110</v>
      </c>
      <c r="L6" s="19">
        <v>110</v>
      </c>
      <c r="M6" s="19">
        <v>110</v>
      </c>
      <c r="N6" s="19">
        <v>110</v>
      </c>
      <c r="O6" s="19">
        <v>110</v>
      </c>
      <c r="P6" s="19">
        <v>110</v>
      </c>
      <c r="Q6" s="19">
        <v>110</v>
      </c>
      <c r="R6" s="19">
        <v>110</v>
      </c>
      <c r="S6" s="19">
        <v>110</v>
      </c>
      <c r="T6" s="19">
        <v>110</v>
      </c>
      <c r="U6" s="19">
        <v>110</v>
      </c>
      <c r="V6" s="19">
        <v>110</v>
      </c>
      <c r="W6" s="19">
        <v>110</v>
      </c>
      <c r="X6" s="19">
        <v>110</v>
      </c>
      <c r="Y6" s="19">
        <v>110</v>
      </c>
      <c r="Z6" s="19">
        <v>110</v>
      </c>
      <c r="AA6" s="19">
        <v>110</v>
      </c>
      <c r="AB6" s="19">
        <v>110</v>
      </c>
      <c r="AC6" s="19">
        <v>110</v>
      </c>
      <c r="AD6" s="19">
        <v>110</v>
      </c>
      <c r="AE6" s="19">
        <v>110</v>
      </c>
      <c r="AF6" s="19">
        <v>110</v>
      </c>
      <c r="AG6" s="19">
        <v>110</v>
      </c>
      <c r="AH6" s="20">
        <v>110</v>
      </c>
      <c r="AI6" s="3"/>
      <c r="AJ6" s="3"/>
    </row>
    <row r="7" spans="1:36" s="4" customFormat="1" ht="15.75" x14ac:dyDescent="0.25">
      <c r="B7" s="5" t="s">
        <v>13</v>
      </c>
      <c r="C7" s="40" t="s">
        <v>14</v>
      </c>
      <c r="D7" s="8">
        <v>0.77916666666666667</v>
      </c>
      <c r="E7" s="8">
        <f>D7</f>
        <v>0.77916666666666667</v>
      </c>
      <c r="F7" s="8">
        <f t="shared" ref="F7:AH9" si="0">E7</f>
        <v>0.77916666666666667</v>
      </c>
      <c r="G7" s="8">
        <f t="shared" si="0"/>
        <v>0.77916666666666667</v>
      </c>
      <c r="H7" s="8">
        <f t="shared" si="0"/>
        <v>0.77916666666666667</v>
      </c>
      <c r="I7" s="8">
        <f t="shared" si="0"/>
        <v>0.77916666666666667</v>
      </c>
      <c r="J7" s="8">
        <f t="shared" si="0"/>
        <v>0.77916666666666667</v>
      </c>
      <c r="K7" s="8">
        <f t="shared" si="0"/>
        <v>0.77916666666666667</v>
      </c>
      <c r="L7" s="8">
        <f t="shared" si="0"/>
        <v>0.77916666666666667</v>
      </c>
      <c r="M7" s="52">
        <f t="shared" si="0"/>
        <v>0.77916666666666667</v>
      </c>
      <c r="N7" s="52">
        <f t="shared" si="0"/>
        <v>0.77916666666666667</v>
      </c>
      <c r="O7" s="52">
        <f t="shared" ref="O7" si="1">N7</f>
        <v>0.77916666666666667</v>
      </c>
      <c r="P7" s="52">
        <f t="shared" ref="P7" si="2">O7</f>
        <v>0.77916666666666667</v>
      </c>
      <c r="Q7" s="52">
        <f t="shared" ref="Q7" si="3">P7</f>
        <v>0.77916666666666667</v>
      </c>
      <c r="R7" s="52">
        <f t="shared" si="0"/>
        <v>0.77916666666666667</v>
      </c>
      <c r="S7" s="8">
        <v>0.78819444444444442</v>
      </c>
      <c r="T7" s="8">
        <f t="shared" si="0"/>
        <v>0.78819444444444442</v>
      </c>
      <c r="U7" s="8">
        <f t="shared" si="0"/>
        <v>0.78819444444444442</v>
      </c>
      <c r="V7" s="8">
        <f t="shared" si="0"/>
        <v>0.78819444444444442</v>
      </c>
      <c r="W7" s="8">
        <f t="shared" si="0"/>
        <v>0.78819444444444442</v>
      </c>
      <c r="X7" s="8">
        <f t="shared" si="0"/>
        <v>0.78819444444444442</v>
      </c>
      <c r="Y7" s="8">
        <f t="shared" si="0"/>
        <v>0.78819444444444442</v>
      </c>
      <c r="Z7" s="8">
        <f t="shared" si="0"/>
        <v>0.78819444444444442</v>
      </c>
      <c r="AA7" s="8">
        <f t="shared" si="0"/>
        <v>0.78819444444444442</v>
      </c>
      <c r="AB7" s="8">
        <f t="shared" si="0"/>
        <v>0.78819444444444442</v>
      </c>
      <c r="AC7" s="8">
        <f t="shared" si="0"/>
        <v>0.78819444444444442</v>
      </c>
      <c r="AD7" s="8">
        <f t="shared" si="0"/>
        <v>0.78819444444444442</v>
      </c>
      <c r="AE7" s="8">
        <f t="shared" si="0"/>
        <v>0.78819444444444442</v>
      </c>
      <c r="AF7" s="8">
        <f t="shared" si="0"/>
        <v>0.78819444444444442</v>
      </c>
      <c r="AG7" s="8">
        <f t="shared" si="0"/>
        <v>0.78819444444444442</v>
      </c>
      <c r="AH7" s="8">
        <f t="shared" si="0"/>
        <v>0.78819444444444442</v>
      </c>
    </row>
    <row r="8" spans="1:36" s="6" customFormat="1" ht="15.75" x14ac:dyDescent="0.25">
      <c r="B8" s="2" t="s">
        <v>9</v>
      </c>
      <c r="C8" s="40" t="s">
        <v>14</v>
      </c>
      <c r="D8" s="13">
        <v>109</v>
      </c>
      <c r="E8" s="13">
        <f>D8</f>
        <v>109</v>
      </c>
      <c r="F8" s="13">
        <f t="shared" si="0"/>
        <v>109</v>
      </c>
      <c r="G8" s="13">
        <f t="shared" si="0"/>
        <v>109</v>
      </c>
      <c r="H8" s="13">
        <f t="shared" si="0"/>
        <v>109</v>
      </c>
      <c r="I8" s="13">
        <f t="shared" si="0"/>
        <v>109</v>
      </c>
      <c r="J8" s="13">
        <f t="shared" si="0"/>
        <v>109</v>
      </c>
      <c r="K8" s="13">
        <f t="shared" si="0"/>
        <v>109</v>
      </c>
      <c r="L8" s="13">
        <f t="shared" si="0"/>
        <v>109</v>
      </c>
      <c r="M8" s="13">
        <f t="shared" si="0"/>
        <v>109</v>
      </c>
      <c r="N8" s="13">
        <f t="shared" si="0"/>
        <v>109</v>
      </c>
      <c r="O8" s="13">
        <f t="shared" ref="O8:O9" si="4">N8</f>
        <v>109</v>
      </c>
      <c r="P8" s="13">
        <f t="shared" si="0"/>
        <v>109</v>
      </c>
      <c r="Q8" s="13">
        <f t="shared" si="0"/>
        <v>109</v>
      </c>
      <c r="R8" s="13">
        <f t="shared" si="0"/>
        <v>109</v>
      </c>
      <c r="S8" s="13">
        <f t="shared" si="0"/>
        <v>109</v>
      </c>
      <c r="T8" s="13">
        <f t="shared" si="0"/>
        <v>109</v>
      </c>
      <c r="U8" s="13">
        <f t="shared" si="0"/>
        <v>109</v>
      </c>
      <c r="V8" s="13">
        <f t="shared" si="0"/>
        <v>109</v>
      </c>
      <c r="W8" s="13">
        <f t="shared" si="0"/>
        <v>109</v>
      </c>
      <c r="X8" s="13">
        <f t="shared" si="0"/>
        <v>109</v>
      </c>
      <c r="Y8" s="13">
        <f t="shared" si="0"/>
        <v>109</v>
      </c>
      <c r="Z8" s="13">
        <f t="shared" si="0"/>
        <v>109</v>
      </c>
      <c r="AA8" s="13">
        <f t="shared" si="0"/>
        <v>109</v>
      </c>
      <c r="AB8" s="13">
        <f t="shared" si="0"/>
        <v>109</v>
      </c>
      <c r="AC8" s="13">
        <f t="shared" si="0"/>
        <v>109</v>
      </c>
      <c r="AD8" s="13">
        <f t="shared" si="0"/>
        <v>109</v>
      </c>
      <c r="AE8" s="13">
        <f t="shared" si="0"/>
        <v>109</v>
      </c>
      <c r="AF8" s="13">
        <f t="shared" si="0"/>
        <v>109</v>
      </c>
      <c r="AG8" s="13">
        <f t="shared" si="0"/>
        <v>109</v>
      </c>
      <c r="AH8" s="13">
        <f t="shared" ref="AH8" si="5">AG8</f>
        <v>109</v>
      </c>
    </row>
    <row r="9" spans="1:36" s="6" customFormat="1" ht="15.75" x14ac:dyDescent="0.25">
      <c r="B9" s="5" t="s">
        <v>10</v>
      </c>
      <c r="C9" s="40" t="s">
        <v>14</v>
      </c>
      <c r="D9" s="8">
        <v>1.6527777777777777</v>
      </c>
      <c r="E9" s="8">
        <f>D9</f>
        <v>1.6527777777777777</v>
      </c>
      <c r="F9" s="8">
        <f t="shared" ref="F9:AH9" si="6">E9</f>
        <v>1.6527777777777777</v>
      </c>
      <c r="G9" s="8">
        <f t="shared" si="6"/>
        <v>1.6527777777777777</v>
      </c>
      <c r="H9" s="8">
        <f t="shared" si="6"/>
        <v>1.6527777777777777</v>
      </c>
      <c r="I9" s="8">
        <f t="shared" si="6"/>
        <v>1.6527777777777777</v>
      </c>
      <c r="J9" s="8">
        <f t="shared" si="6"/>
        <v>1.6527777777777777</v>
      </c>
      <c r="K9" s="8">
        <f t="shared" si="6"/>
        <v>1.6527777777777777</v>
      </c>
      <c r="L9" s="8">
        <f t="shared" si="6"/>
        <v>1.6527777777777777</v>
      </c>
      <c r="M9" s="52">
        <f t="shared" si="6"/>
        <v>1.6527777777777777</v>
      </c>
      <c r="N9" s="52">
        <f t="shared" si="0"/>
        <v>1.6527777777777777</v>
      </c>
      <c r="O9" s="52">
        <f t="shared" si="4"/>
        <v>1.6527777777777777</v>
      </c>
      <c r="P9" s="52">
        <f t="shared" si="0"/>
        <v>1.6527777777777777</v>
      </c>
      <c r="Q9" s="52">
        <f t="shared" si="0"/>
        <v>1.6527777777777777</v>
      </c>
      <c r="R9" s="52">
        <v>1.6770833333333333</v>
      </c>
      <c r="S9" s="8">
        <f t="shared" si="6"/>
        <v>1.6770833333333333</v>
      </c>
      <c r="T9" s="8">
        <f t="shared" si="6"/>
        <v>1.6770833333333333</v>
      </c>
      <c r="U9" s="8">
        <f t="shared" si="6"/>
        <v>1.6770833333333333</v>
      </c>
      <c r="V9" s="8">
        <f t="shared" si="6"/>
        <v>1.6770833333333333</v>
      </c>
      <c r="W9" s="8">
        <f t="shared" si="6"/>
        <v>1.6770833333333333</v>
      </c>
      <c r="X9" s="8">
        <f t="shared" si="6"/>
        <v>1.6770833333333333</v>
      </c>
      <c r="Y9" s="8">
        <f t="shared" si="6"/>
        <v>1.6770833333333333</v>
      </c>
      <c r="Z9" s="8">
        <f t="shared" si="6"/>
        <v>1.6770833333333333</v>
      </c>
      <c r="AA9" s="8">
        <f t="shared" si="6"/>
        <v>1.6770833333333333</v>
      </c>
      <c r="AB9" s="8">
        <f t="shared" si="6"/>
        <v>1.6770833333333333</v>
      </c>
      <c r="AC9" s="8">
        <f t="shared" si="6"/>
        <v>1.6770833333333333</v>
      </c>
      <c r="AD9" s="8">
        <f t="shared" si="6"/>
        <v>1.6770833333333333</v>
      </c>
      <c r="AE9" s="8">
        <f t="shared" si="6"/>
        <v>1.6770833333333333</v>
      </c>
      <c r="AF9" s="8">
        <f t="shared" si="6"/>
        <v>1.6770833333333333</v>
      </c>
      <c r="AG9" s="8">
        <f t="shared" si="6"/>
        <v>1.6770833333333333</v>
      </c>
      <c r="AH9" s="8">
        <f t="shared" si="6"/>
        <v>1.6770833333333333</v>
      </c>
    </row>
    <row r="10" spans="1:36" s="1" customFormat="1" ht="16.5" thickBot="1" x14ac:dyDescent="0.3">
      <c r="B10" s="23" t="s">
        <v>11</v>
      </c>
      <c r="C10" s="41" t="s">
        <v>14</v>
      </c>
      <c r="D10" s="24">
        <f>SUM(D9-D7)</f>
        <v>0.87361111111111101</v>
      </c>
      <c r="E10" s="24">
        <f t="shared" ref="E10:AG10" si="7">SUM(E9-E7)</f>
        <v>0.87361111111111101</v>
      </c>
      <c r="F10" s="24">
        <f t="shared" si="7"/>
        <v>0.87361111111111101</v>
      </c>
      <c r="G10" s="24">
        <f t="shared" si="7"/>
        <v>0.87361111111111101</v>
      </c>
      <c r="H10" s="24">
        <f t="shared" si="7"/>
        <v>0.87361111111111101</v>
      </c>
      <c r="I10" s="24">
        <f t="shared" si="7"/>
        <v>0.87361111111111101</v>
      </c>
      <c r="J10" s="24">
        <f t="shared" si="7"/>
        <v>0.87361111111111101</v>
      </c>
      <c r="K10" s="24">
        <f t="shared" si="7"/>
        <v>0.87361111111111101</v>
      </c>
      <c r="L10" s="24">
        <f t="shared" si="7"/>
        <v>0.87361111111111101</v>
      </c>
      <c r="M10" s="55">
        <f t="shared" si="7"/>
        <v>0.87361111111111101</v>
      </c>
      <c r="N10" s="55">
        <f t="shared" si="7"/>
        <v>0.87361111111111101</v>
      </c>
      <c r="O10" s="55">
        <f t="shared" si="7"/>
        <v>0.87361111111111101</v>
      </c>
      <c r="P10" s="55">
        <f t="shared" si="7"/>
        <v>0.87361111111111101</v>
      </c>
      <c r="Q10" s="55">
        <f t="shared" si="7"/>
        <v>0.87361111111111101</v>
      </c>
      <c r="R10" s="55">
        <f t="shared" si="7"/>
        <v>0.89791666666666659</v>
      </c>
      <c r="S10" s="24">
        <f t="shared" si="7"/>
        <v>0.88888888888888884</v>
      </c>
      <c r="T10" s="24">
        <f t="shared" si="7"/>
        <v>0.88888888888888884</v>
      </c>
      <c r="U10" s="24">
        <f t="shared" si="7"/>
        <v>0.88888888888888884</v>
      </c>
      <c r="V10" s="24">
        <f t="shared" si="7"/>
        <v>0.88888888888888884</v>
      </c>
      <c r="W10" s="24">
        <f t="shared" si="7"/>
        <v>0.88888888888888884</v>
      </c>
      <c r="X10" s="24">
        <f t="shared" si="7"/>
        <v>0.88888888888888884</v>
      </c>
      <c r="Y10" s="24">
        <f t="shared" si="7"/>
        <v>0.88888888888888884</v>
      </c>
      <c r="Z10" s="24">
        <f t="shared" si="7"/>
        <v>0.88888888888888884</v>
      </c>
      <c r="AA10" s="24">
        <f t="shared" si="7"/>
        <v>0.88888888888888884</v>
      </c>
      <c r="AB10" s="24">
        <f t="shared" si="7"/>
        <v>0.88888888888888884</v>
      </c>
      <c r="AC10" s="24">
        <f t="shared" si="7"/>
        <v>0.88888888888888884</v>
      </c>
      <c r="AD10" s="24">
        <f t="shared" si="7"/>
        <v>0.88888888888888884</v>
      </c>
      <c r="AE10" s="24">
        <f t="shared" si="7"/>
        <v>0.88888888888888884</v>
      </c>
      <c r="AF10" s="24">
        <f t="shared" si="7"/>
        <v>0.88888888888888884</v>
      </c>
      <c r="AG10" s="24">
        <f t="shared" si="7"/>
        <v>0.88888888888888884</v>
      </c>
      <c r="AH10" s="25">
        <v>9.375E-2</v>
      </c>
    </row>
    <row r="11" spans="1:36" s="4" customFormat="1" ht="15.75" x14ac:dyDescent="0.25">
      <c r="B11" s="18" t="s">
        <v>8</v>
      </c>
      <c r="C11" s="39" t="s">
        <v>14</v>
      </c>
      <c r="D11" s="19">
        <v>314</v>
      </c>
      <c r="E11" s="19">
        <v>314</v>
      </c>
      <c r="F11" s="19">
        <v>314</v>
      </c>
      <c r="G11" s="19">
        <v>314</v>
      </c>
      <c r="H11" s="19">
        <v>314</v>
      </c>
      <c r="I11" s="19">
        <v>314</v>
      </c>
      <c r="J11" s="19">
        <v>314</v>
      </c>
      <c r="K11" s="19">
        <v>314</v>
      </c>
      <c r="L11" s="19">
        <v>314</v>
      </c>
      <c r="M11" s="51">
        <v>314</v>
      </c>
      <c r="N11" s="51">
        <v>314</v>
      </c>
      <c r="O11" s="51">
        <v>314</v>
      </c>
      <c r="P11" s="51">
        <v>314</v>
      </c>
      <c r="Q11" s="51">
        <v>314</v>
      </c>
      <c r="R11" s="51">
        <v>314</v>
      </c>
      <c r="S11" s="19">
        <v>314</v>
      </c>
      <c r="T11" s="19">
        <v>314</v>
      </c>
      <c r="U11" s="19">
        <v>314</v>
      </c>
      <c r="V11" s="19">
        <v>314</v>
      </c>
      <c r="W11" s="19">
        <v>314</v>
      </c>
      <c r="X11" s="19">
        <v>314</v>
      </c>
      <c r="Y11" s="19">
        <v>314</v>
      </c>
      <c r="Z11" s="19">
        <v>314</v>
      </c>
      <c r="AA11" s="19">
        <v>314</v>
      </c>
      <c r="AB11" s="19">
        <v>314</v>
      </c>
      <c r="AC11" s="19">
        <v>314</v>
      </c>
      <c r="AD11" s="19">
        <v>314</v>
      </c>
      <c r="AE11" s="19">
        <v>314</v>
      </c>
      <c r="AF11" s="19">
        <v>314</v>
      </c>
      <c r="AG11" s="19">
        <v>314</v>
      </c>
      <c r="AH11" s="20">
        <v>314</v>
      </c>
    </row>
    <row r="12" spans="1:36" s="4" customFormat="1" ht="15.75" x14ac:dyDescent="0.25">
      <c r="B12" s="5" t="s">
        <v>13</v>
      </c>
      <c r="C12" s="40" t="s">
        <v>14</v>
      </c>
      <c r="D12" s="8">
        <v>0.40277777777777779</v>
      </c>
      <c r="E12" s="8">
        <f>D12</f>
        <v>0.40277777777777779</v>
      </c>
      <c r="F12" s="8">
        <f t="shared" ref="F12:AH12" si="8">E12</f>
        <v>0.40277777777777779</v>
      </c>
      <c r="G12" s="8">
        <f t="shared" si="8"/>
        <v>0.40277777777777779</v>
      </c>
      <c r="H12" s="8">
        <f t="shared" si="8"/>
        <v>0.40277777777777779</v>
      </c>
      <c r="I12" s="8">
        <f t="shared" si="8"/>
        <v>0.40277777777777779</v>
      </c>
      <c r="J12" s="8">
        <f t="shared" si="8"/>
        <v>0.40277777777777779</v>
      </c>
      <c r="K12" s="8">
        <f t="shared" si="8"/>
        <v>0.40277777777777779</v>
      </c>
      <c r="L12" s="8">
        <f t="shared" si="8"/>
        <v>0.40277777777777779</v>
      </c>
      <c r="M12" s="52">
        <f t="shared" si="8"/>
        <v>0.40277777777777779</v>
      </c>
      <c r="N12" s="52">
        <f t="shared" si="8"/>
        <v>0.40277777777777779</v>
      </c>
      <c r="O12" s="52">
        <f t="shared" ref="O12" si="9">N12</f>
        <v>0.40277777777777779</v>
      </c>
      <c r="P12" s="52">
        <f t="shared" ref="P12" si="10">O12</f>
        <v>0.40277777777777779</v>
      </c>
      <c r="Q12" s="52">
        <f t="shared" ref="Q12" si="11">P12</f>
        <v>0.40277777777777779</v>
      </c>
      <c r="R12" s="52">
        <f t="shared" si="8"/>
        <v>0.40277777777777779</v>
      </c>
      <c r="S12" s="8">
        <v>0.37638888888888888</v>
      </c>
      <c r="T12" s="8">
        <f t="shared" si="8"/>
        <v>0.37638888888888888</v>
      </c>
      <c r="U12" s="8">
        <f t="shared" si="8"/>
        <v>0.37638888888888888</v>
      </c>
      <c r="V12" s="8">
        <f t="shared" si="8"/>
        <v>0.37638888888888888</v>
      </c>
      <c r="W12" s="8">
        <f t="shared" si="8"/>
        <v>0.37638888888888888</v>
      </c>
      <c r="X12" s="8">
        <f t="shared" si="8"/>
        <v>0.37638888888888888</v>
      </c>
      <c r="Y12" s="8">
        <f t="shared" si="8"/>
        <v>0.37638888888888888</v>
      </c>
      <c r="Z12" s="8">
        <f t="shared" si="8"/>
        <v>0.37638888888888888</v>
      </c>
      <c r="AA12" s="8">
        <f t="shared" si="8"/>
        <v>0.37638888888888888</v>
      </c>
      <c r="AB12" s="8">
        <f t="shared" si="8"/>
        <v>0.37638888888888888</v>
      </c>
      <c r="AC12" s="8">
        <f t="shared" si="8"/>
        <v>0.37638888888888888</v>
      </c>
      <c r="AD12" s="8">
        <f t="shared" si="8"/>
        <v>0.37638888888888888</v>
      </c>
      <c r="AE12" s="8">
        <f t="shared" si="8"/>
        <v>0.37638888888888888</v>
      </c>
      <c r="AF12" s="8">
        <f t="shared" si="8"/>
        <v>0.37638888888888888</v>
      </c>
      <c r="AG12" s="8">
        <f t="shared" si="8"/>
        <v>0.37638888888888888</v>
      </c>
      <c r="AH12" s="8">
        <f t="shared" si="8"/>
        <v>0.37638888888888888</v>
      </c>
    </row>
    <row r="13" spans="1:36" s="6" customFormat="1" ht="15.75" x14ac:dyDescent="0.25">
      <c r="B13" s="2" t="s">
        <v>9</v>
      </c>
      <c r="C13" s="40" t="s">
        <v>14</v>
      </c>
      <c r="D13" s="13">
        <v>313</v>
      </c>
      <c r="E13" s="13">
        <v>313</v>
      </c>
      <c r="F13" s="13">
        <v>313</v>
      </c>
      <c r="G13" s="13">
        <v>313</v>
      </c>
      <c r="H13" s="13">
        <v>313</v>
      </c>
      <c r="I13" s="13">
        <v>313</v>
      </c>
      <c r="J13" s="13">
        <v>313</v>
      </c>
      <c r="K13" s="13">
        <v>313</v>
      </c>
      <c r="L13" s="13">
        <v>313</v>
      </c>
      <c r="M13" s="53">
        <v>313</v>
      </c>
      <c r="N13" s="53">
        <v>313</v>
      </c>
      <c r="O13" s="53">
        <v>313</v>
      </c>
      <c r="P13" s="53">
        <v>313</v>
      </c>
      <c r="Q13" s="53">
        <v>313</v>
      </c>
      <c r="R13" s="53">
        <v>313</v>
      </c>
      <c r="S13" s="13">
        <v>313</v>
      </c>
      <c r="T13" s="13">
        <v>313</v>
      </c>
      <c r="U13" s="13">
        <v>313</v>
      </c>
      <c r="V13" s="13">
        <v>313</v>
      </c>
      <c r="W13" s="13">
        <v>313</v>
      </c>
      <c r="X13" s="13">
        <v>313</v>
      </c>
      <c r="Y13" s="13">
        <v>313</v>
      </c>
      <c r="Z13" s="13">
        <v>313</v>
      </c>
      <c r="AA13" s="13">
        <v>313</v>
      </c>
      <c r="AB13" s="13">
        <v>313</v>
      </c>
      <c r="AC13" s="13">
        <v>313</v>
      </c>
      <c r="AD13" s="13">
        <v>313</v>
      </c>
      <c r="AE13" s="13">
        <v>313</v>
      </c>
      <c r="AF13" s="13">
        <v>313</v>
      </c>
      <c r="AG13" s="13">
        <v>313</v>
      </c>
      <c r="AH13" s="13">
        <v>313</v>
      </c>
    </row>
    <row r="14" spans="1:36" s="6" customFormat="1" ht="15.75" x14ac:dyDescent="0.25">
      <c r="B14" s="5" t="s">
        <v>10</v>
      </c>
      <c r="C14" s="40" t="s">
        <v>14</v>
      </c>
      <c r="D14" s="8">
        <v>0.57430555555555551</v>
      </c>
      <c r="E14" s="8">
        <f>D14</f>
        <v>0.57430555555555551</v>
      </c>
      <c r="F14" s="8">
        <f t="shared" ref="F14:AH14" si="12">E14</f>
        <v>0.57430555555555551</v>
      </c>
      <c r="G14" s="8">
        <f t="shared" si="12"/>
        <v>0.57430555555555551</v>
      </c>
      <c r="H14" s="8">
        <f t="shared" si="12"/>
        <v>0.57430555555555551</v>
      </c>
      <c r="I14" s="8">
        <f t="shared" si="12"/>
        <v>0.57430555555555551</v>
      </c>
      <c r="J14" s="8">
        <f t="shared" si="12"/>
        <v>0.57430555555555551</v>
      </c>
      <c r="K14" s="8">
        <f t="shared" si="12"/>
        <v>0.57430555555555551</v>
      </c>
      <c r="L14" s="8">
        <f t="shared" si="12"/>
        <v>0.57430555555555551</v>
      </c>
      <c r="M14" s="52">
        <f t="shared" si="12"/>
        <v>0.57430555555555551</v>
      </c>
      <c r="N14" s="52">
        <f t="shared" ref="N14" si="13">M14</f>
        <v>0.57430555555555551</v>
      </c>
      <c r="O14" s="52">
        <f t="shared" ref="O14" si="14">N14</f>
        <v>0.57430555555555551</v>
      </c>
      <c r="P14" s="52">
        <f t="shared" ref="P14" si="15">O14</f>
        <v>0.57430555555555551</v>
      </c>
      <c r="Q14" s="52">
        <f t="shared" ref="Q14" si="16">P14</f>
        <v>0.57430555555555551</v>
      </c>
      <c r="R14" s="52">
        <v>0.58333333333333337</v>
      </c>
      <c r="S14" s="8">
        <f t="shared" si="12"/>
        <v>0.58333333333333337</v>
      </c>
      <c r="T14" s="8">
        <f t="shared" si="12"/>
        <v>0.58333333333333337</v>
      </c>
      <c r="U14" s="8">
        <f t="shared" si="12"/>
        <v>0.58333333333333337</v>
      </c>
      <c r="V14" s="8">
        <f t="shared" si="12"/>
        <v>0.58333333333333337</v>
      </c>
      <c r="W14" s="8">
        <f t="shared" si="12"/>
        <v>0.58333333333333337</v>
      </c>
      <c r="X14" s="8">
        <f t="shared" si="12"/>
        <v>0.58333333333333337</v>
      </c>
      <c r="Y14" s="8">
        <f t="shared" si="12"/>
        <v>0.58333333333333337</v>
      </c>
      <c r="Z14" s="8">
        <f t="shared" si="12"/>
        <v>0.58333333333333337</v>
      </c>
      <c r="AA14" s="8">
        <f t="shared" si="12"/>
        <v>0.58333333333333337</v>
      </c>
      <c r="AB14" s="8">
        <f t="shared" si="12"/>
        <v>0.58333333333333337</v>
      </c>
      <c r="AC14" s="8">
        <f t="shared" si="12"/>
        <v>0.58333333333333337</v>
      </c>
      <c r="AD14" s="8">
        <f t="shared" si="12"/>
        <v>0.58333333333333337</v>
      </c>
      <c r="AE14" s="8">
        <f t="shared" si="12"/>
        <v>0.58333333333333337</v>
      </c>
      <c r="AF14" s="8">
        <f t="shared" si="12"/>
        <v>0.58333333333333337</v>
      </c>
      <c r="AG14" s="8">
        <f t="shared" si="12"/>
        <v>0.58333333333333337</v>
      </c>
      <c r="AH14" s="8">
        <f t="shared" si="12"/>
        <v>0.58333333333333337</v>
      </c>
    </row>
    <row r="15" spans="1:36" s="1" customFormat="1" ht="16.5" thickBot="1" x14ac:dyDescent="0.3">
      <c r="B15" s="23" t="s">
        <v>11</v>
      </c>
      <c r="C15" s="41" t="s">
        <v>14</v>
      </c>
      <c r="D15" s="24">
        <f>SUM(D14-D12)</f>
        <v>0.17152777777777772</v>
      </c>
      <c r="E15" s="24">
        <f t="shared" ref="E15:AH15" si="17">SUM(E14-E12)</f>
        <v>0.17152777777777772</v>
      </c>
      <c r="F15" s="24">
        <f t="shared" si="17"/>
        <v>0.17152777777777772</v>
      </c>
      <c r="G15" s="24">
        <f t="shared" si="17"/>
        <v>0.17152777777777772</v>
      </c>
      <c r="H15" s="24">
        <f t="shared" si="17"/>
        <v>0.17152777777777772</v>
      </c>
      <c r="I15" s="24">
        <f t="shared" si="17"/>
        <v>0.17152777777777772</v>
      </c>
      <c r="J15" s="24">
        <f t="shared" si="17"/>
        <v>0.17152777777777772</v>
      </c>
      <c r="K15" s="24">
        <f t="shared" si="17"/>
        <v>0.17152777777777772</v>
      </c>
      <c r="L15" s="24">
        <f t="shared" si="17"/>
        <v>0.17152777777777772</v>
      </c>
      <c r="M15" s="55">
        <f t="shared" si="17"/>
        <v>0.17152777777777772</v>
      </c>
      <c r="N15" s="55">
        <f t="shared" si="17"/>
        <v>0.17152777777777772</v>
      </c>
      <c r="O15" s="55">
        <f t="shared" si="17"/>
        <v>0.17152777777777772</v>
      </c>
      <c r="P15" s="55">
        <f t="shared" si="17"/>
        <v>0.17152777777777772</v>
      </c>
      <c r="Q15" s="55">
        <f t="shared" si="17"/>
        <v>0.17152777777777772</v>
      </c>
      <c r="R15" s="55">
        <f t="shared" si="17"/>
        <v>0.18055555555555558</v>
      </c>
      <c r="S15" s="24">
        <f t="shared" si="17"/>
        <v>0.20694444444444449</v>
      </c>
      <c r="T15" s="24">
        <f t="shared" si="17"/>
        <v>0.20694444444444449</v>
      </c>
      <c r="U15" s="24">
        <f t="shared" si="17"/>
        <v>0.20694444444444449</v>
      </c>
      <c r="V15" s="24">
        <f t="shared" si="17"/>
        <v>0.20694444444444449</v>
      </c>
      <c r="W15" s="24">
        <f t="shared" si="17"/>
        <v>0.20694444444444449</v>
      </c>
      <c r="X15" s="24">
        <f t="shared" si="17"/>
        <v>0.20694444444444449</v>
      </c>
      <c r="Y15" s="24">
        <f t="shared" si="17"/>
        <v>0.20694444444444449</v>
      </c>
      <c r="Z15" s="24">
        <f t="shared" si="17"/>
        <v>0.20694444444444449</v>
      </c>
      <c r="AA15" s="24">
        <f t="shared" si="17"/>
        <v>0.20694444444444449</v>
      </c>
      <c r="AB15" s="24">
        <f t="shared" si="17"/>
        <v>0.20694444444444449</v>
      </c>
      <c r="AC15" s="24">
        <f t="shared" si="17"/>
        <v>0.20694444444444449</v>
      </c>
      <c r="AD15" s="24">
        <f t="shared" si="17"/>
        <v>0.20694444444444449</v>
      </c>
      <c r="AE15" s="24">
        <f t="shared" si="17"/>
        <v>0.20694444444444449</v>
      </c>
      <c r="AF15" s="24">
        <f t="shared" si="17"/>
        <v>0.20694444444444449</v>
      </c>
      <c r="AG15" s="24">
        <f t="shared" si="17"/>
        <v>0.20694444444444449</v>
      </c>
      <c r="AH15" s="24">
        <f t="shared" si="17"/>
        <v>0.20694444444444449</v>
      </c>
    </row>
    <row r="16" spans="1:36" s="4" customFormat="1" ht="15.75" x14ac:dyDescent="0.25">
      <c r="B16" s="18" t="s">
        <v>8</v>
      </c>
      <c r="C16" s="39" t="s">
        <v>14</v>
      </c>
      <c r="D16" s="19">
        <v>658</v>
      </c>
      <c r="E16" s="19"/>
      <c r="F16" s="19">
        <v>658</v>
      </c>
      <c r="G16" s="19"/>
      <c r="H16" s="19">
        <v>658</v>
      </c>
      <c r="I16" s="19"/>
      <c r="J16" s="19">
        <v>658</v>
      </c>
      <c r="K16" s="19"/>
      <c r="L16" s="19">
        <v>658</v>
      </c>
      <c r="M16" s="51"/>
      <c r="N16" s="19">
        <v>658</v>
      </c>
      <c r="O16" s="51"/>
      <c r="P16" s="19">
        <v>658</v>
      </c>
      <c r="Q16" s="51"/>
      <c r="R16" s="51">
        <v>658</v>
      </c>
      <c r="S16" s="19"/>
      <c r="T16" s="19">
        <v>658</v>
      </c>
      <c r="U16" s="19"/>
      <c r="V16" s="19">
        <v>658</v>
      </c>
      <c r="W16" s="19"/>
      <c r="X16" s="19">
        <v>658</v>
      </c>
      <c r="Y16" s="19"/>
      <c r="Z16" s="19">
        <v>658</v>
      </c>
      <c r="AA16" s="19"/>
      <c r="AB16" s="19">
        <v>658</v>
      </c>
      <c r="AC16" s="19"/>
      <c r="AD16" s="19">
        <v>658</v>
      </c>
      <c r="AE16" s="19"/>
      <c r="AF16" s="19">
        <v>658</v>
      </c>
      <c r="AG16" s="19"/>
      <c r="AH16" s="19">
        <v>658</v>
      </c>
    </row>
    <row r="17" spans="2:34" s="4" customFormat="1" ht="15.75" x14ac:dyDescent="0.25">
      <c r="B17" s="5" t="s">
        <v>13</v>
      </c>
      <c r="C17" s="40" t="s">
        <v>14</v>
      </c>
      <c r="D17" s="8">
        <v>0.25763888888888886</v>
      </c>
      <c r="E17" s="8"/>
      <c r="F17" s="8">
        <v>0.25763888888888886</v>
      </c>
      <c r="G17" s="8"/>
      <c r="H17" s="8">
        <v>0.25763888888888886</v>
      </c>
      <c r="I17" s="8"/>
      <c r="J17" s="8">
        <v>0.25763888888888886</v>
      </c>
      <c r="K17" s="8"/>
      <c r="L17" s="8">
        <v>0.25763888888888886</v>
      </c>
      <c r="M17" s="52"/>
      <c r="N17" s="8">
        <v>0.25763888888888886</v>
      </c>
      <c r="O17" s="52"/>
      <c r="P17" s="8">
        <v>0.25763888888888886</v>
      </c>
      <c r="Q17" s="52"/>
      <c r="R17" s="52">
        <v>0.25763888888888886</v>
      </c>
      <c r="S17" s="8"/>
      <c r="T17" s="8">
        <v>0.31041666666666667</v>
      </c>
      <c r="U17" s="8"/>
      <c r="V17" s="8">
        <v>0.31041666666666667</v>
      </c>
      <c r="W17" s="8"/>
      <c r="X17" s="8">
        <v>0.31041666666666667</v>
      </c>
      <c r="Y17" s="8"/>
      <c r="Z17" s="8">
        <v>0.31041666666666667</v>
      </c>
      <c r="AA17" s="8"/>
      <c r="AB17" s="8">
        <v>0.31041666666666667</v>
      </c>
      <c r="AC17" s="8"/>
      <c r="AD17" s="8">
        <v>0.31041666666666667</v>
      </c>
      <c r="AE17" s="8"/>
      <c r="AF17" s="8">
        <v>0.31041666666666667</v>
      </c>
      <c r="AG17" s="8"/>
      <c r="AH17" s="8">
        <v>0.31041666666666667</v>
      </c>
    </row>
    <row r="18" spans="2:34" s="6" customFormat="1" ht="15.75" x14ac:dyDescent="0.25">
      <c r="B18" s="2" t="s">
        <v>9</v>
      </c>
      <c r="C18" s="40" t="s">
        <v>14</v>
      </c>
      <c r="D18" s="13">
        <v>657</v>
      </c>
      <c r="E18" s="13"/>
      <c r="F18" s="13">
        <v>657</v>
      </c>
      <c r="G18" s="13"/>
      <c r="H18" s="13">
        <v>657</v>
      </c>
      <c r="I18" s="13"/>
      <c r="J18" s="13">
        <v>657</v>
      </c>
      <c r="K18" s="13"/>
      <c r="L18" s="13">
        <v>657</v>
      </c>
      <c r="M18" s="53"/>
      <c r="N18" s="13">
        <v>657</v>
      </c>
      <c r="O18" s="53"/>
      <c r="P18" s="13">
        <v>657</v>
      </c>
      <c r="Q18" s="53"/>
      <c r="R18" s="53">
        <v>657</v>
      </c>
      <c r="S18" s="13"/>
      <c r="T18" s="53">
        <v>657</v>
      </c>
      <c r="U18" s="13"/>
      <c r="V18" s="53">
        <v>657</v>
      </c>
      <c r="W18" s="13"/>
      <c r="X18" s="53">
        <v>657</v>
      </c>
      <c r="Y18" s="13"/>
      <c r="Z18" s="53">
        <v>657</v>
      </c>
      <c r="AA18" s="13"/>
      <c r="AB18" s="53">
        <v>657</v>
      </c>
      <c r="AC18" s="13"/>
      <c r="AD18" s="53">
        <v>657</v>
      </c>
      <c r="AE18" s="13"/>
      <c r="AF18" s="53">
        <v>657</v>
      </c>
      <c r="AG18" s="13"/>
      <c r="AH18" s="53">
        <v>657</v>
      </c>
    </row>
    <row r="19" spans="2:34" s="6" customFormat="1" ht="15.75" x14ac:dyDescent="0.25">
      <c r="B19" s="5" t="s">
        <v>10</v>
      </c>
      <c r="C19" s="40" t="s">
        <v>14</v>
      </c>
      <c r="D19" s="8">
        <v>0.92708333333333337</v>
      </c>
      <c r="E19" s="8"/>
      <c r="F19" s="8">
        <v>0.92708333333333337</v>
      </c>
      <c r="G19" s="8"/>
      <c r="H19" s="8">
        <v>0.92708333333333337</v>
      </c>
      <c r="I19" s="8"/>
      <c r="J19" s="8">
        <v>0.92708333333333337</v>
      </c>
      <c r="K19" s="8"/>
      <c r="L19" s="8">
        <v>0.92708333333333337</v>
      </c>
      <c r="M19" s="52"/>
      <c r="N19" s="8">
        <v>0.92708333333333337</v>
      </c>
      <c r="O19" s="52"/>
      <c r="P19" s="8">
        <v>0.92708333333333337</v>
      </c>
      <c r="Q19" s="52"/>
      <c r="R19" s="52">
        <v>0.94097222222222221</v>
      </c>
      <c r="S19" s="8"/>
      <c r="T19" s="52">
        <v>0.94097222222222221</v>
      </c>
      <c r="U19" s="8"/>
      <c r="V19" s="52">
        <v>0.94097222222222221</v>
      </c>
      <c r="W19" s="8"/>
      <c r="X19" s="52">
        <v>0.94097222222222221</v>
      </c>
      <c r="Y19" s="8"/>
      <c r="Z19" s="52">
        <v>0.94097222222222221</v>
      </c>
      <c r="AA19" s="8"/>
      <c r="AB19" s="52">
        <v>0.94097222222222221</v>
      </c>
      <c r="AC19" s="8"/>
      <c r="AD19" s="52">
        <v>0.94097222222222221</v>
      </c>
      <c r="AE19" s="8"/>
      <c r="AF19" s="52">
        <v>0.94097222222222221</v>
      </c>
      <c r="AG19" s="8"/>
      <c r="AH19" s="52">
        <v>0.94097222222222221</v>
      </c>
    </row>
    <row r="20" spans="2:34" s="1" customFormat="1" ht="16.5" thickBot="1" x14ac:dyDescent="0.3">
      <c r="B20" s="23" t="s">
        <v>11</v>
      </c>
      <c r="C20" s="41" t="s">
        <v>14</v>
      </c>
      <c r="D20" s="24">
        <f>SUM(D19-D17)</f>
        <v>0.66944444444444451</v>
      </c>
      <c r="E20" s="24"/>
      <c r="F20" s="24">
        <f>SUM(F19-F17)</f>
        <v>0.66944444444444451</v>
      </c>
      <c r="G20" s="24"/>
      <c r="H20" s="24">
        <f>SUM(H19-H17)</f>
        <v>0.66944444444444451</v>
      </c>
      <c r="I20" s="24"/>
      <c r="J20" s="24">
        <f>SUM(J19-J17)</f>
        <v>0.66944444444444451</v>
      </c>
      <c r="K20" s="24"/>
      <c r="L20" s="24">
        <f>SUM(L19-L17)</f>
        <v>0.66944444444444451</v>
      </c>
      <c r="M20" s="55"/>
      <c r="N20" s="24">
        <f>SUM(N19-N17)</f>
        <v>0.66944444444444451</v>
      </c>
      <c r="O20" s="55"/>
      <c r="P20" s="24">
        <f>SUM(P19-P17)</f>
        <v>0.66944444444444451</v>
      </c>
      <c r="Q20" s="55"/>
      <c r="R20" s="55">
        <f t="shared" ref="R20:AH20" si="18">SUM(R19-R17)</f>
        <v>0.68333333333333335</v>
      </c>
      <c r="S20" s="24"/>
      <c r="T20" s="24">
        <f t="shared" si="18"/>
        <v>0.63055555555555554</v>
      </c>
      <c r="U20" s="24"/>
      <c r="V20" s="24">
        <f t="shared" si="18"/>
        <v>0.63055555555555554</v>
      </c>
      <c r="W20" s="24"/>
      <c r="X20" s="24">
        <f t="shared" si="18"/>
        <v>0.63055555555555554</v>
      </c>
      <c r="Y20" s="24"/>
      <c r="Z20" s="24">
        <f t="shared" si="18"/>
        <v>0.63055555555555554</v>
      </c>
      <c r="AA20" s="24"/>
      <c r="AB20" s="24">
        <f t="shared" si="18"/>
        <v>0.63055555555555554</v>
      </c>
      <c r="AC20" s="24"/>
      <c r="AD20" s="24">
        <f t="shared" si="18"/>
        <v>0.63055555555555554</v>
      </c>
      <c r="AE20" s="24"/>
      <c r="AF20" s="24">
        <f t="shared" si="18"/>
        <v>0.63055555555555554</v>
      </c>
      <c r="AG20" s="24"/>
      <c r="AH20" s="24">
        <f t="shared" si="18"/>
        <v>0.63055555555555554</v>
      </c>
    </row>
    <row r="21" spans="2:34" s="4" customFormat="1" ht="15.75" x14ac:dyDescent="0.25">
      <c r="B21" s="18" t="s">
        <v>8</v>
      </c>
      <c r="C21" s="75" t="s">
        <v>18</v>
      </c>
      <c r="D21" s="19">
        <v>78</v>
      </c>
      <c r="E21" s="19">
        <v>78</v>
      </c>
      <c r="F21" s="19">
        <v>78</v>
      </c>
      <c r="G21" s="19">
        <v>78</v>
      </c>
      <c r="H21" s="19">
        <v>78</v>
      </c>
      <c r="I21" s="19">
        <v>78</v>
      </c>
      <c r="J21" s="19">
        <v>78</v>
      </c>
      <c r="K21" s="19">
        <v>78</v>
      </c>
      <c r="L21" s="19">
        <v>78</v>
      </c>
      <c r="M21" s="51">
        <v>78</v>
      </c>
      <c r="N21" s="51">
        <v>78</v>
      </c>
      <c r="O21" s="51">
        <v>78</v>
      </c>
      <c r="P21" s="51">
        <v>78</v>
      </c>
      <c r="Q21" s="51">
        <v>78</v>
      </c>
      <c r="R21" s="51">
        <v>78</v>
      </c>
      <c r="S21" s="19">
        <v>78</v>
      </c>
      <c r="T21" s="19"/>
      <c r="U21" s="19">
        <v>78</v>
      </c>
      <c r="V21" s="19">
        <v>78</v>
      </c>
      <c r="W21" s="19">
        <v>78</v>
      </c>
      <c r="X21" s="19">
        <v>78</v>
      </c>
      <c r="Y21" s="19">
        <v>78</v>
      </c>
      <c r="Z21" s="19">
        <v>78</v>
      </c>
      <c r="AA21" s="19">
        <v>78</v>
      </c>
      <c r="AB21" s="19">
        <v>78</v>
      </c>
      <c r="AC21" s="19">
        <v>78</v>
      </c>
      <c r="AD21" s="19">
        <v>78</v>
      </c>
      <c r="AE21" s="19">
        <v>78</v>
      </c>
      <c r="AF21" s="19">
        <v>78</v>
      </c>
      <c r="AG21" s="19">
        <v>78</v>
      </c>
      <c r="AH21" s="19">
        <v>78</v>
      </c>
    </row>
    <row r="22" spans="2:34" s="4" customFormat="1" ht="15.75" x14ac:dyDescent="0.25">
      <c r="B22" s="5" t="s">
        <v>13</v>
      </c>
      <c r="C22" s="40" t="s">
        <v>18</v>
      </c>
      <c r="D22" s="8">
        <v>0.28055555555555556</v>
      </c>
      <c r="E22" s="8">
        <v>0.28055555555555556</v>
      </c>
      <c r="F22" s="8">
        <v>0.28055555555555556</v>
      </c>
      <c r="G22" s="8">
        <v>0.28055555555555556</v>
      </c>
      <c r="H22" s="8">
        <v>0.28055555555555556</v>
      </c>
      <c r="I22" s="8">
        <v>0.28055555555555556</v>
      </c>
      <c r="J22" s="8">
        <v>0.28055555555555556</v>
      </c>
      <c r="K22" s="8">
        <v>0.28055555555555556</v>
      </c>
      <c r="L22" s="8">
        <v>0.28055555555555556</v>
      </c>
      <c r="M22" s="8">
        <v>0.28055555555555556</v>
      </c>
      <c r="N22" s="8">
        <v>0.28055555555555556</v>
      </c>
      <c r="O22" s="8">
        <v>0.28055555555555556</v>
      </c>
      <c r="P22" s="8">
        <v>0.28055555555555556</v>
      </c>
      <c r="Q22" s="8">
        <v>0.28055555555555556</v>
      </c>
      <c r="R22" s="8">
        <v>0.28055555555555556</v>
      </c>
      <c r="S22" s="8">
        <f t="shared" ref="S22:AH22" si="19">R22</f>
        <v>0.28055555555555556</v>
      </c>
      <c r="T22" s="8"/>
      <c r="U22" s="8">
        <v>0.25624999999999998</v>
      </c>
      <c r="V22" s="8">
        <f t="shared" si="19"/>
        <v>0.25624999999999998</v>
      </c>
      <c r="W22" s="8">
        <f t="shared" si="19"/>
        <v>0.25624999999999998</v>
      </c>
      <c r="X22" s="8">
        <f t="shared" si="19"/>
        <v>0.25624999999999998</v>
      </c>
      <c r="Y22" s="8">
        <f t="shared" si="19"/>
        <v>0.25624999999999998</v>
      </c>
      <c r="Z22" s="8">
        <f t="shared" si="19"/>
        <v>0.25624999999999998</v>
      </c>
      <c r="AA22" s="8">
        <f t="shared" si="19"/>
        <v>0.25624999999999998</v>
      </c>
      <c r="AB22" s="8">
        <f t="shared" si="19"/>
        <v>0.25624999999999998</v>
      </c>
      <c r="AC22" s="8">
        <f t="shared" si="19"/>
        <v>0.25624999999999998</v>
      </c>
      <c r="AD22" s="8">
        <f t="shared" si="19"/>
        <v>0.25624999999999998</v>
      </c>
      <c r="AE22" s="8">
        <f t="shared" si="19"/>
        <v>0.25624999999999998</v>
      </c>
      <c r="AF22" s="8">
        <f t="shared" si="19"/>
        <v>0.25624999999999998</v>
      </c>
      <c r="AG22" s="8">
        <f t="shared" si="19"/>
        <v>0.25624999999999998</v>
      </c>
      <c r="AH22" s="8">
        <f t="shared" si="19"/>
        <v>0.25624999999999998</v>
      </c>
    </row>
    <row r="23" spans="2:34" s="6" customFormat="1" ht="15.75" x14ac:dyDescent="0.25">
      <c r="B23" s="2" t="s">
        <v>9</v>
      </c>
      <c r="C23" s="40" t="s">
        <v>18</v>
      </c>
      <c r="D23" s="13">
        <v>77</v>
      </c>
      <c r="E23" s="13">
        <v>77</v>
      </c>
      <c r="F23" s="13">
        <v>77</v>
      </c>
      <c r="G23" s="13">
        <v>77</v>
      </c>
      <c r="H23" s="13">
        <v>77</v>
      </c>
      <c r="I23" s="13">
        <v>77</v>
      </c>
      <c r="J23" s="13">
        <v>77</v>
      </c>
      <c r="K23" s="13">
        <v>77</v>
      </c>
      <c r="L23" s="13">
        <v>77</v>
      </c>
      <c r="M23" s="53">
        <v>77</v>
      </c>
      <c r="N23" s="53">
        <v>77</v>
      </c>
      <c r="O23" s="53">
        <v>77</v>
      </c>
      <c r="P23" s="53">
        <v>77</v>
      </c>
      <c r="Q23" s="53">
        <v>77</v>
      </c>
      <c r="R23" s="53">
        <v>77</v>
      </c>
      <c r="S23" s="13">
        <v>77</v>
      </c>
      <c r="T23" s="13"/>
      <c r="U23" s="13">
        <v>77</v>
      </c>
      <c r="V23" s="13">
        <v>77</v>
      </c>
      <c r="W23" s="13">
        <v>77</v>
      </c>
      <c r="X23" s="13">
        <v>77</v>
      </c>
      <c r="Y23" s="13">
        <v>77</v>
      </c>
      <c r="Z23" s="13">
        <v>77</v>
      </c>
      <c r="AA23" s="13">
        <v>77</v>
      </c>
      <c r="AB23" s="13">
        <v>77</v>
      </c>
      <c r="AC23" s="13">
        <v>77</v>
      </c>
      <c r="AD23" s="13">
        <v>77</v>
      </c>
      <c r="AE23" s="13">
        <v>77</v>
      </c>
      <c r="AF23" s="13">
        <v>77</v>
      </c>
      <c r="AG23" s="13">
        <v>77</v>
      </c>
      <c r="AH23" s="13">
        <v>77</v>
      </c>
    </row>
    <row r="24" spans="2:34" s="6" customFormat="1" ht="15.75" x14ac:dyDescent="0.25">
      <c r="B24" s="5" t="s">
        <v>10</v>
      </c>
      <c r="C24" s="40" t="s">
        <v>18</v>
      </c>
      <c r="D24" s="8">
        <v>0.41666666666666669</v>
      </c>
      <c r="E24" s="8">
        <v>0.41666666666666669</v>
      </c>
      <c r="F24" s="8">
        <v>0.41666666666666669</v>
      </c>
      <c r="G24" s="8">
        <v>0.41666666666666669</v>
      </c>
      <c r="H24" s="8">
        <v>0.41666666666666669</v>
      </c>
      <c r="I24" s="8">
        <v>0.41666666666666669</v>
      </c>
      <c r="J24" s="8">
        <v>0.41666666666666669</v>
      </c>
      <c r="K24" s="8">
        <v>0.41666666666666669</v>
      </c>
      <c r="L24" s="8">
        <v>0.41666666666666669</v>
      </c>
      <c r="M24" s="8">
        <v>0.41666666666666669</v>
      </c>
      <c r="N24" s="8">
        <v>0.41666666666666669</v>
      </c>
      <c r="O24" s="8">
        <v>0.41666666666666669</v>
      </c>
      <c r="P24" s="8">
        <v>0.41666666666666669</v>
      </c>
      <c r="Q24" s="8">
        <v>0.41666666666666669</v>
      </c>
      <c r="R24" s="52">
        <v>0.35416666666666669</v>
      </c>
      <c r="S24" s="8">
        <f t="shared" ref="S24:AH24" si="20">R24</f>
        <v>0.35416666666666669</v>
      </c>
      <c r="T24" s="8"/>
      <c r="U24" s="8">
        <v>0.35416666666666669</v>
      </c>
      <c r="V24" s="8">
        <f t="shared" si="20"/>
        <v>0.35416666666666669</v>
      </c>
      <c r="W24" s="8">
        <f t="shared" si="20"/>
        <v>0.35416666666666669</v>
      </c>
      <c r="X24" s="8">
        <f t="shared" si="20"/>
        <v>0.35416666666666669</v>
      </c>
      <c r="Y24" s="8">
        <f t="shared" si="20"/>
        <v>0.35416666666666669</v>
      </c>
      <c r="Z24" s="8">
        <f t="shared" si="20"/>
        <v>0.35416666666666669</v>
      </c>
      <c r="AA24" s="8">
        <f t="shared" si="20"/>
        <v>0.35416666666666669</v>
      </c>
      <c r="AB24" s="8">
        <f t="shared" si="20"/>
        <v>0.35416666666666669</v>
      </c>
      <c r="AC24" s="8">
        <f t="shared" si="20"/>
        <v>0.35416666666666669</v>
      </c>
      <c r="AD24" s="8">
        <f t="shared" si="20"/>
        <v>0.35416666666666669</v>
      </c>
      <c r="AE24" s="8">
        <f t="shared" si="20"/>
        <v>0.35416666666666669</v>
      </c>
      <c r="AF24" s="8">
        <f t="shared" si="20"/>
        <v>0.35416666666666669</v>
      </c>
      <c r="AG24" s="8">
        <f t="shared" si="20"/>
        <v>0.35416666666666669</v>
      </c>
      <c r="AH24" s="8">
        <f t="shared" si="20"/>
        <v>0.35416666666666669</v>
      </c>
    </row>
    <row r="25" spans="2:34" s="1" customFormat="1" ht="16.5" thickBot="1" x14ac:dyDescent="0.3">
      <c r="B25" s="23" t="s">
        <v>11</v>
      </c>
      <c r="C25" s="76" t="s">
        <v>18</v>
      </c>
      <c r="D25" s="24">
        <f>SUM(D24-D22)</f>
        <v>0.13611111111111113</v>
      </c>
      <c r="E25" s="24">
        <f t="shared" ref="E25:AG25" si="21">SUM(E24-E22)</f>
        <v>0.13611111111111113</v>
      </c>
      <c r="F25" s="24">
        <f t="shared" si="21"/>
        <v>0.13611111111111113</v>
      </c>
      <c r="G25" s="24">
        <f t="shared" si="21"/>
        <v>0.13611111111111113</v>
      </c>
      <c r="H25" s="24">
        <f t="shared" si="21"/>
        <v>0.13611111111111113</v>
      </c>
      <c r="I25" s="24">
        <f t="shared" si="21"/>
        <v>0.13611111111111113</v>
      </c>
      <c r="J25" s="24">
        <f t="shared" si="21"/>
        <v>0.13611111111111113</v>
      </c>
      <c r="K25" s="24">
        <f t="shared" si="21"/>
        <v>0.13611111111111113</v>
      </c>
      <c r="L25" s="24">
        <f t="shared" si="21"/>
        <v>0.13611111111111113</v>
      </c>
      <c r="M25" s="55">
        <f t="shared" si="21"/>
        <v>0.13611111111111113</v>
      </c>
      <c r="N25" s="55">
        <f t="shared" si="21"/>
        <v>0.13611111111111113</v>
      </c>
      <c r="O25" s="55">
        <f t="shared" si="21"/>
        <v>0.13611111111111113</v>
      </c>
      <c r="P25" s="55">
        <f t="shared" si="21"/>
        <v>0.13611111111111113</v>
      </c>
      <c r="Q25" s="55">
        <f t="shared" si="21"/>
        <v>0.13611111111111113</v>
      </c>
      <c r="R25" s="55">
        <f t="shared" si="21"/>
        <v>7.3611111111111127E-2</v>
      </c>
      <c r="S25" s="24">
        <f t="shared" si="21"/>
        <v>7.3611111111111127E-2</v>
      </c>
      <c r="T25" s="24"/>
      <c r="U25" s="24">
        <f t="shared" si="21"/>
        <v>9.7916666666666707E-2</v>
      </c>
      <c r="V25" s="24">
        <f t="shared" si="21"/>
        <v>9.7916666666666707E-2</v>
      </c>
      <c r="W25" s="24">
        <f t="shared" si="21"/>
        <v>9.7916666666666707E-2</v>
      </c>
      <c r="X25" s="24">
        <f t="shared" si="21"/>
        <v>9.7916666666666707E-2</v>
      </c>
      <c r="Y25" s="24">
        <f t="shared" si="21"/>
        <v>9.7916666666666707E-2</v>
      </c>
      <c r="Z25" s="24">
        <f t="shared" si="21"/>
        <v>9.7916666666666707E-2</v>
      </c>
      <c r="AA25" s="24">
        <f t="shared" si="21"/>
        <v>9.7916666666666707E-2</v>
      </c>
      <c r="AB25" s="24">
        <f t="shared" si="21"/>
        <v>9.7916666666666707E-2</v>
      </c>
      <c r="AC25" s="24">
        <f t="shared" si="21"/>
        <v>9.7916666666666707E-2</v>
      </c>
      <c r="AD25" s="24">
        <f t="shared" si="21"/>
        <v>9.7916666666666707E-2</v>
      </c>
      <c r="AE25" s="24">
        <f t="shared" si="21"/>
        <v>9.7916666666666707E-2</v>
      </c>
      <c r="AF25" s="24">
        <f t="shared" si="21"/>
        <v>9.7916666666666707E-2</v>
      </c>
      <c r="AG25" s="24">
        <f t="shared" si="21"/>
        <v>9.7916666666666707E-2</v>
      </c>
      <c r="AH25" s="24">
        <f t="shared" ref="AH25" si="22">SUM(AH24-AH22)</f>
        <v>9.7916666666666707E-2</v>
      </c>
    </row>
    <row r="26" spans="2:34" s="4" customFormat="1" ht="15.75" x14ac:dyDescent="0.25">
      <c r="B26" s="18" t="s">
        <v>8</v>
      </c>
      <c r="C26" s="39" t="s">
        <v>20</v>
      </c>
      <c r="D26" s="19"/>
      <c r="E26" s="19">
        <v>38</v>
      </c>
      <c r="F26" s="19"/>
      <c r="G26" s="19">
        <v>38</v>
      </c>
      <c r="H26" s="19"/>
      <c r="I26" s="19">
        <v>38</v>
      </c>
      <c r="J26" s="19"/>
      <c r="K26" s="19">
        <v>38</v>
      </c>
      <c r="L26" s="19"/>
      <c r="M26" s="19">
        <v>38</v>
      </c>
      <c r="N26" s="51"/>
      <c r="O26" s="19">
        <v>38</v>
      </c>
      <c r="P26" s="51"/>
      <c r="Q26" s="19">
        <v>38</v>
      </c>
      <c r="R26" s="51"/>
      <c r="S26" s="19">
        <v>38</v>
      </c>
      <c r="T26" s="19"/>
      <c r="U26" s="19">
        <v>38</v>
      </c>
      <c r="V26" s="19"/>
      <c r="W26" s="19">
        <v>38</v>
      </c>
      <c r="X26" s="19"/>
      <c r="Y26" s="19">
        <v>38</v>
      </c>
      <c r="Z26" s="19"/>
      <c r="AA26" s="19">
        <v>38</v>
      </c>
      <c r="AB26" s="19"/>
      <c r="AC26" s="19">
        <v>38</v>
      </c>
      <c r="AD26" s="19"/>
      <c r="AE26" s="19">
        <v>38</v>
      </c>
      <c r="AF26" s="19"/>
      <c r="AG26" s="19">
        <v>38</v>
      </c>
      <c r="AH26" s="20"/>
    </row>
    <row r="27" spans="2:34" s="4" customFormat="1" ht="15.75" x14ac:dyDescent="0.25">
      <c r="B27" s="5" t="s">
        <v>13</v>
      </c>
      <c r="C27" s="40" t="s">
        <v>20</v>
      </c>
      <c r="D27" s="8"/>
      <c r="E27" s="8">
        <v>0.37083333333333335</v>
      </c>
      <c r="F27" s="8"/>
      <c r="G27" s="8">
        <v>0.37083333333333335</v>
      </c>
      <c r="H27" s="8"/>
      <c r="I27" s="8">
        <v>0.37083333333333335</v>
      </c>
      <c r="J27" s="8"/>
      <c r="K27" s="8">
        <v>0.37083333333333335</v>
      </c>
      <c r="L27" s="8"/>
      <c r="M27" s="8">
        <v>0.37083333333333335</v>
      </c>
      <c r="N27" s="52"/>
      <c r="O27" s="8">
        <v>0.37083333333333335</v>
      </c>
      <c r="P27" s="52"/>
      <c r="Q27" s="8">
        <v>0.37083333333333335</v>
      </c>
      <c r="R27" s="52"/>
      <c r="S27" s="8">
        <v>0.37083333333333335</v>
      </c>
      <c r="T27" s="8"/>
      <c r="U27" s="8">
        <v>0.18055555555555555</v>
      </c>
      <c r="V27" s="8"/>
      <c r="W27" s="8">
        <v>0.18055555555555555</v>
      </c>
      <c r="X27" s="8"/>
      <c r="Y27" s="8">
        <v>0.18055555555555555</v>
      </c>
      <c r="Z27" s="8"/>
      <c r="AA27" s="8">
        <v>0.18055555555555555</v>
      </c>
      <c r="AB27" s="8"/>
      <c r="AC27" s="8">
        <v>0.18055555555555555</v>
      </c>
      <c r="AD27" s="8"/>
      <c r="AE27" s="8">
        <v>0.18055555555555555</v>
      </c>
      <c r="AF27" s="8"/>
      <c r="AG27" s="8">
        <v>0.18055555555555555</v>
      </c>
      <c r="AH27" s="21"/>
    </row>
    <row r="28" spans="2:34" s="6" customFormat="1" ht="15.75" x14ac:dyDescent="0.25">
      <c r="B28" s="2" t="s">
        <v>9</v>
      </c>
      <c r="C28" s="40" t="s">
        <v>20</v>
      </c>
      <c r="D28" s="13"/>
      <c r="E28" s="13">
        <v>37</v>
      </c>
      <c r="F28" s="13"/>
      <c r="G28" s="13">
        <v>37</v>
      </c>
      <c r="H28" s="13"/>
      <c r="I28" s="13">
        <v>37</v>
      </c>
      <c r="J28" s="13"/>
      <c r="K28" s="13">
        <v>37</v>
      </c>
      <c r="L28" s="13"/>
      <c r="M28" s="13">
        <v>37</v>
      </c>
      <c r="N28" s="53"/>
      <c r="O28" s="13">
        <v>37</v>
      </c>
      <c r="P28" s="53"/>
      <c r="Q28" s="13">
        <v>37</v>
      </c>
      <c r="R28" s="53"/>
      <c r="S28" s="13">
        <v>37</v>
      </c>
      <c r="T28" s="13"/>
      <c r="U28" s="13">
        <v>37</v>
      </c>
      <c r="V28" s="13"/>
      <c r="W28" s="13">
        <v>37</v>
      </c>
      <c r="X28" s="13"/>
      <c r="Y28" s="13">
        <v>37</v>
      </c>
      <c r="Z28" s="13"/>
      <c r="AA28" s="13">
        <v>37</v>
      </c>
      <c r="AB28" s="13"/>
      <c r="AC28" s="13">
        <v>37</v>
      </c>
      <c r="AD28" s="13"/>
      <c r="AE28" s="13">
        <v>37</v>
      </c>
      <c r="AF28" s="13"/>
      <c r="AG28" s="13">
        <v>37</v>
      </c>
      <c r="AH28" s="22"/>
    </row>
    <row r="29" spans="2:34" s="6" customFormat="1" ht="15.75" x14ac:dyDescent="0.25">
      <c r="B29" s="5" t="s">
        <v>10</v>
      </c>
      <c r="C29" s="40" t="s">
        <v>20</v>
      </c>
      <c r="D29" s="8"/>
      <c r="E29" s="8">
        <v>0.82708333333333328</v>
      </c>
      <c r="F29" s="8"/>
      <c r="G29" s="8">
        <v>0.82708333333333328</v>
      </c>
      <c r="H29" s="8"/>
      <c r="I29" s="8">
        <v>0.82708333333333328</v>
      </c>
      <c r="J29" s="8"/>
      <c r="K29" s="8">
        <v>0.82708333333333328</v>
      </c>
      <c r="L29" s="8"/>
      <c r="M29" s="8">
        <v>0.82708333333333328</v>
      </c>
      <c r="N29" s="52"/>
      <c r="O29" s="8">
        <v>0.82708333333333328</v>
      </c>
      <c r="P29" s="52"/>
      <c r="Q29" s="8">
        <v>0.82708333333333328</v>
      </c>
      <c r="R29" s="52"/>
      <c r="S29" s="8">
        <v>0.78888888888888886</v>
      </c>
      <c r="T29" s="8"/>
      <c r="U29" s="8">
        <v>0.78888888888888886</v>
      </c>
      <c r="V29" s="8"/>
      <c r="W29" s="8">
        <v>0.78888888888888886</v>
      </c>
      <c r="X29" s="8"/>
      <c r="Y29" s="8">
        <v>0.78888888888888886</v>
      </c>
      <c r="Z29" s="8"/>
      <c r="AA29" s="8">
        <v>0.78888888888888886</v>
      </c>
      <c r="AB29" s="8"/>
      <c r="AC29" s="8">
        <v>0.78888888888888886</v>
      </c>
      <c r="AD29" s="8"/>
      <c r="AE29" s="8">
        <v>0.78888888888888886</v>
      </c>
      <c r="AF29" s="8"/>
      <c r="AG29" s="8">
        <v>0.78888888888888886</v>
      </c>
      <c r="AH29" s="21"/>
    </row>
    <row r="30" spans="2:34" s="1" customFormat="1" ht="16.5" thickBot="1" x14ac:dyDescent="0.3">
      <c r="B30" s="23" t="s">
        <v>11</v>
      </c>
      <c r="C30" s="41" t="s">
        <v>20</v>
      </c>
      <c r="D30" s="24"/>
      <c r="E30" s="24">
        <f>SUM(E29-E27)</f>
        <v>0.45624999999999993</v>
      </c>
      <c r="F30" s="24"/>
      <c r="G30" s="24">
        <f>SUM(G29-G27)</f>
        <v>0.45624999999999993</v>
      </c>
      <c r="H30" s="24"/>
      <c r="I30" s="24">
        <f>SUM(I29-I27)</f>
        <v>0.45624999999999993</v>
      </c>
      <c r="J30" s="24"/>
      <c r="K30" s="24">
        <f>SUM(K29-K27)</f>
        <v>0.45624999999999993</v>
      </c>
      <c r="L30" s="24"/>
      <c r="M30" s="24">
        <f>SUM(M29-M27)</f>
        <v>0.45624999999999993</v>
      </c>
      <c r="N30" s="55"/>
      <c r="O30" s="24">
        <f>SUM(O29-O27)</f>
        <v>0.45624999999999993</v>
      </c>
      <c r="P30" s="55"/>
      <c r="Q30" s="24">
        <f>SUM(Q29-Q27)</f>
        <v>0.45624999999999993</v>
      </c>
      <c r="R30" s="55"/>
      <c r="S30" s="24">
        <f>SUM(S29-S27)</f>
        <v>0.41805555555555551</v>
      </c>
      <c r="T30" s="24"/>
      <c r="U30" s="24">
        <f>SUM(U29-U27)</f>
        <v>0.60833333333333328</v>
      </c>
      <c r="V30" s="24"/>
      <c r="W30" s="24">
        <f>SUM(W29-W27)</f>
        <v>0.60833333333333328</v>
      </c>
      <c r="X30" s="24"/>
      <c r="Y30" s="24">
        <f>SUM(Y29-Y27)</f>
        <v>0.60833333333333328</v>
      </c>
      <c r="Z30" s="24"/>
      <c r="AA30" s="24">
        <f>SUM(AA29-AA27)</f>
        <v>0.60833333333333328</v>
      </c>
      <c r="AB30" s="24"/>
      <c r="AC30" s="24">
        <f>SUM(AC29-AC27)</f>
        <v>0.60833333333333328</v>
      </c>
      <c r="AD30" s="24"/>
      <c r="AE30" s="24">
        <f>SUM(AE29-AE27)</f>
        <v>0.60833333333333328</v>
      </c>
      <c r="AF30" s="24"/>
      <c r="AG30" s="24">
        <f>SUM(AG29-AG27)</f>
        <v>0.60833333333333328</v>
      </c>
      <c r="AH30" s="25"/>
    </row>
    <row r="31" spans="2:34" s="4" customFormat="1" ht="15.75" x14ac:dyDescent="0.25">
      <c r="B31" s="18" t="s">
        <v>8</v>
      </c>
      <c r="C31" s="39" t="s">
        <v>18</v>
      </c>
      <c r="D31" s="19"/>
      <c r="E31" s="19">
        <v>614</v>
      </c>
      <c r="F31" s="19"/>
      <c r="G31" s="19">
        <v>614</v>
      </c>
      <c r="H31" s="19"/>
      <c r="I31" s="19">
        <v>614</v>
      </c>
      <c r="J31" s="19"/>
      <c r="K31" s="19">
        <v>614</v>
      </c>
      <c r="L31" s="19"/>
      <c r="M31" s="19">
        <v>614</v>
      </c>
      <c r="N31" s="51"/>
      <c r="O31" s="19">
        <v>614</v>
      </c>
      <c r="P31" s="51"/>
      <c r="Q31" s="19">
        <v>614</v>
      </c>
      <c r="R31" s="51"/>
      <c r="S31" s="19"/>
      <c r="T31" s="19">
        <v>614</v>
      </c>
      <c r="U31" s="19"/>
      <c r="V31" s="19">
        <v>614</v>
      </c>
      <c r="W31" s="19"/>
      <c r="X31" s="19">
        <v>614</v>
      </c>
      <c r="Y31" s="19"/>
      <c r="Z31" s="19">
        <v>614</v>
      </c>
      <c r="AA31" s="19"/>
      <c r="AB31" s="19">
        <v>614</v>
      </c>
      <c r="AC31" s="19"/>
      <c r="AD31" s="19">
        <v>614</v>
      </c>
      <c r="AE31" s="19"/>
      <c r="AF31" s="19">
        <v>614</v>
      </c>
      <c r="AG31" s="19"/>
      <c r="AH31" s="19">
        <v>614</v>
      </c>
    </row>
    <row r="32" spans="2:34" s="4" customFormat="1" ht="15.75" x14ac:dyDescent="0.25">
      <c r="B32" s="5" t="s">
        <v>13</v>
      </c>
      <c r="C32" s="40" t="s">
        <v>18</v>
      </c>
      <c r="D32" s="8"/>
      <c r="E32" s="8">
        <v>0.69513888888888886</v>
      </c>
      <c r="F32" s="8"/>
      <c r="G32" s="8">
        <v>0.69513888888888886</v>
      </c>
      <c r="H32" s="8"/>
      <c r="I32" s="8">
        <v>0.69513888888888886</v>
      </c>
      <c r="J32" s="8"/>
      <c r="K32" s="8">
        <v>0.69513888888888886</v>
      </c>
      <c r="L32" s="8"/>
      <c r="M32" s="8">
        <v>0.69513888888888886</v>
      </c>
      <c r="N32" s="52"/>
      <c r="O32" s="8">
        <v>0.69513888888888886</v>
      </c>
      <c r="P32" s="52"/>
      <c r="Q32" s="8">
        <v>0.69513888888888886</v>
      </c>
      <c r="R32" s="52"/>
      <c r="S32" s="8"/>
      <c r="T32" s="8">
        <v>0.39791666666666664</v>
      </c>
      <c r="U32" s="8"/>
      <c r="V32" s="8">
        <v>0.39791666666666664</v>
      </c>
      <c r="W32" s="8"/>
      <c r="X32" s="8">
        <v>0.39791666666666664</v>
      </c>
      <c r="Y32" s="8"/>
      <c r="Z32" s="8">
        <v>0.39791666666666664</v>
      </c>
      <c r="AA32" s="8"/>
      <c r="AB32" s="8">
        <v>0.39791666666666664</v>
      </c>
      <c r="AC32" s="8"/>
      <c r="AD32" s="8">
        <v>0.39791666666666664</v>
      </c>
      <c r="AE32" s="8"/>
      <c r="AF32" s="8">
        <v>0.39791666666666664</v>
      </c>
      <c r="AG32" s="8"/>
      <c r="AH32" s="8">
        <v>0.39791666666666664</v>
      </c>
    </row>
    <row r="33" spans="2:34" s="6" customFormat="1" ht="15.75" x14ac:dyDescent="0.25">
      <c r="B33" s="2" t="s">
        <v>9</v>
      </c>
      <c r="C33" s="40" t="s">
        <v>18</v>
      </c>
      <c r="D33" s="13"/>
      <c r="E33" s="13">
        <v>613</v>
      </c>
      <c r="F33" s="13"/>
      <c r="G33" s="13">
        <v>613</v>
      </c>
      <c r="H33" s="13"/>
      <c r="I33" s="13">
        <v>613</v>
      </c>
      <c r="J33" s="13"/>
      <c r="K33" s="13">
        <v>613</v>
      </c>
      <c r="L33" s="13"/>
      <c r="M33" s="13">
        <v>613</v>
      </c>
      <c r="N33" s="53"/>
      <c r="O33" s="13">
        <v>613</v>
      </c>
      <c r="P33" s="53"/>
      <c r="Q33" s="13">
        <v>613</v>
      </c>
      <c r="R33" s="53"/>
      <c r="S33" s="13"/>
      <c r="T33" s="13">
        <v>613</v>
      </c>
      <c r="U33" s="13"/>
      <c r="V33" s="13">
        <v>613</v>
      </c>
      <c r="W33" s="13"/>
      <c r="X33" s="13">
        <v>613</v>
      </c>
      <c r="Y33" s="13"/>
      <c r="Z33" s="13">
        <v>613</v>
      </c>
      <c r="AA33" s="13"/>
      <c r="AB33" s="13">
        <v>613</v>
      </c>
      <c r="AC33" s="13"/>
      <c r="AD33" s="13">
        <v>613</v>
      </c>
      <c r="AE33" s="13"/>
      <c r="AF33" s="13">
        <v>613</v>
      </c>
      <c r="AG33" s="13"/>
      <c r="AH33" s="13">
        <v>613</v>
      </c>
    </row>
    <row r="34" spans="2:34" s="6" customFormat="1" ht="15.75" x14ac:dyDescent="0.25">
      <c r="B34" s="5" t="s">
        <v>10</v>
      </c>
      <c r="C34" s="40" t="s">
        <v>18</v>
      </c>
      <c r="D34" s="8"/>
      <c r="E34" s="8">
        <v>0.86805555555555558</v>
      </c>
      <c r="F34" s="8"/>
      <c r="G34" s="8">
        <v>0.86805555555555558</v>
      </c>
      <c r="H34" s="8"/>
      <c r="I34" s="8">
        <v>0.86805555555555558</v>
      </c>
      <c r="J34" s="8"/>
      <c r="K34" s="8">
        <v>0.86805555555555558</v>
      </c>
      <c r="L34" s="8"/>
      <c r="M34" s="8">
        <v>0.86805555555555558</v>
      </c>
      <c r="N34" s="52"/>
      <c r="O34" s="8">
        <v>0.86805555555555558</v>
      </c>
      <c r="P34" s="52"/>
      <c r="Q34" s="8">
        <v>0.86805555555555558</v>
      </c>
      <c r="R34" s="52"/>
      <c r="S34" s="8"/>
      <c r="T34" s="8">
        <v>0.78888888888888886</v>
      </c>
      <c r="U34" s="8"/>
      <c r="V34" s="8">
        <v>0.78888888888888886</v>
      </c>
      <c r="W34" s="8"/>
      <c r="X34" s="8">
        <v>0.78888888888888886</v>
      </c>
      <c r="Y34" s="8"/>
      <c r="Z34" s="8">
        <v>0.78888888888888886</v>
      </c>
      <c r="AA34" s="8"/>
      <c r="AB34" s="8">
        <v>0.78888888888888886</v>
      </c>
      <c r="AC34" s="8"/>
      <c r="AD34" s="8">
        <v>0.78888888888888886</v>
      </c>
      <c r="AE34" s="8"/>
      <c r="AF34" s="8">
        <v>0.78888888888888886</v>
      </c>
      <c r="AG34" s="8"/>
      <c r="AH34" s="8">
        <v>0.78888888888888886</v>
      </c>
    </row>
    <row r="35" spans="2:34" s="1" customFormat="1" ht="16.5" thickBot="1" x14ac:dyDescent="0.3">
      <c r="B35" s="23" t="s">
        <v>11</v>
      </c>
      <c r="C35" s="41" t="s">
        <v>18</v>
      </c>
      <c r="D35" s="24"/>
      <c r="E35" s="24">
        <f>SUM(E34-E32)</f>
        <v>0.17291666666666672</v>
      </c>
      <c r="F35" s="24"/>
      <c r="G35" s="24">
        <f>SUM(G34-G32)</f>
        <v>0.17291666666666672</v>
      </c>
      <c r="H35" s="24"/>
      <c r="I35" s="24">
        <f>SUM(I34-I32)</f>
        <v>0.17291666666666672</v>
      </c>
      <c r="J35" s="24"/>
      <c r="K35" s="24">
        <f>SUM(K34-K32)</f>
        <v>0.17291666666666672</v>
      </c>
      <c r="L35" s="24"/>
      <c r="M35" s="24">
        <f>SUM(M34-M32)</f>
        <v>0.17291666666666672</v>
      </c>
      <c r="N35" s="55"/>
      <c r="O35" s="24">
        <f>SUM(O34-O32)</f>
        <v>0.17291666666666672</v>
      </c>
      <c r="P35" s="55"/>
      <c r="Q35" s="24">
        <f>SUM(Q34-Q32)</f>
        <v>0.17291666666666672</v>
      </c>
      <c r="R35" s="55"/>
      <c r="S35" s="24"/>
      <c r="T35" s="24">
        <f>SUM(T34-T32)</f>
        <v>0.39097222222222222</v>
      </c>
      <c r="U35" s="24"/>
      <c r="V35" s="24">
        <f>SUM(V34-V32)</f>
        <v>0.39097222222222222</v>
      </c>
      <c r="W35" s="24"/>
      <c r="X35" s="24">
        <f>SUM(X34-X32)</f>
        <v>0.39097222222222222</v>
      </c>
      <c r="Y35" s="24"/>
      <c r="Z35" s="24">
        <f>SUM(Z34-Z32)</f>
        <v>0.39097222222222222</v>
      </c>
      <c r="AA35" s="24"/>
      <c r="AB35" s="24">
        <f>SUM(AB34-AB32)</f>
        <v>0.39097222222222222</v>
      </c>
      <c r="AC35" s="24"/>
      <c r="AD35" s="24">
        <f>SUM(AD34-AD32)</f>
        <v>0.39097222222222222</v>
      </c>
      <c r="AE35" s="24"/>
      <c r="AF35" s="24">
        <f>SUM(AF34-AF32)</f>
        <v>0.39097222222222222</v>
      </c>
      <c r="AG35" s="24"/>
      <c r="AH35" s="24">
        <f>SUM(AH34-AH32)</f>
        <v>0.39097222222222222</v>
      </c>
    </row>
    <row r="36" spans="2:34" s="4" customFormat="1" ht="15.75" x14ac:dyDescent="0.25">
      <c r="B36" s="18" t="s">
        <v>8</v>
      </c>
      <c r="C36" s="39" t="s">
        <v>18</v>
      </c>
      <c r="D36" s="19">
        <v>650</v>
      </c>
      <c r="E36" s="19"/>
      <c r="F36" s="19"/>
      <c r="G36" s="19">
        <v>650</v>
      </c>
      <c r="H36" s="19"/>
      <c r="I36" s="19">
        <v>650</v>
      </c>
      <c r="J36" s="19"/>
      <c r="K36" s="19">
        <v>650</v>
      </c>
      <c r="L36" s="19"/>
      <c r="M36" s="51"/>
      <c r="N36" s="19">
        <v>650</v>
      </c>
      <c r="O36" s="51"/>
      <c r="P36" s="19">
        <v>650</v>
      </c>
      <c r="Q36" s="51"/>
      <c r="R36" s="19">
        <v>650</v>
      </c>
      <c r="S36" s="19"/>
      <c r="T36" s="19"/>
      <c r="U36" s="19">
        <v>650</v>
      </c>
      <c r="V36" s="19"/>
      <c r="W36" s="19">
        <v>650</v>
      </c>
      <c r="X36" s="19"/>
      <c r="Y36" s="19">
        <v>650</v>
      </c>
      <c r="Z36" s="19"/>
      <c r="AA36" s="19"/>
      <c r="AB36" s="19">
        <v>650</v>
      </c>
      <c r="AC36" s="19"/>
      <c r="AD36" s="19">
        <v>650</v>
      </c>
      <c r="AE36" s="19"/>
      <c r="AF36" s="19">
        <v>650</v>
      </c>
      <c r="AG36" s="19"/>
      <c r="AH36" s="20"/>
    </row>
    <row r="37" spans="2:34" s="4" customFormat="1" ht="15.75" x14ac:dyDescent="0.25">
      <c r="B37" s="5" t="s">
        <v>13</v>
      </c>
      <c r="C37" s="40" t="s">
        <v>18</v>
      </c>
      <c r="D37" s="8">
        <v>0.71805555555555556</v>
      </c>
      <c r="E37" s="8"/>
      <c r="F37" s="8"/>
      <c r="G37" s="8">
        <v>0.71805555555555556</v>
      </c>
      <c r="H37" s="8"/>
      <c r="I37" s="8">
        <v>0.71805555555555556</v>
      </c>
      <c r="J37" s="8"/>
      <c r="K37" s="8">
        <v>0.71805555555555556</v>
      </c>
      <c r="L37" s="8"/>
      <c r="M37" s="52"/>
      <c r="N37" s="8">
        <v>0.71805555555555556</v>
      </c>
      <c r="O37" s="52"/>
      <c r="P37" s="8">
        <v>0.71805555555555556</v>
      </c>
      <c r="Q37" s="52"/>
      <c r="R37" s="8">
        <v>0.71805555555555556</v>
      </c>
      <c r="S37" s="8"/>
      <c r="T37" s="8"/>
      <c r="U37" s="8">
        <v>0.69930555555555551</v>
      </c>
      <c r="V37" s="8"/>
      <c r="W37" s="8">
        <v>0.69930555555555551</v>
      </c>
      <c r="X37" s="8"/>
      <c r="Y37" s="8">
        <v>0.69930555555555551</v>
      </c>
      <c r="Z37" s="8"/>
      <c r="AA37" s="8"/>
      <c r="AB37" s="8">
        <v>0.69930555555555551</v>
      </c>
      <c r="AC37" s="8"/>
      <c r="AD37" s="8">
        <v>0.69930555555555551</v>
      </c>
      <c r="AE37" s="8"/>
      <c r="AF37" s="8">
        <v>0.69930555555555551</v>
      </c>
      <c r="AG37" s="8"/>
      <c r="AH37" s="21"/>
    </row>
    <row r="38" spans="2:34" s="6" customFormat="1" ht="15.75" x14ac:dyDescent="0.25">
      <c r="B38" s="2" t="s">
        <v>9</v>
      </c>
      <c r="C38" s="40" t="s">
        <v>18</v>
      </c>
      <c r="D38" s="13">
        <v>649</v>
      </c>
      <c r="E38" s="13"/>
      <c r="F38" s="13"/>
      <c r="G38" s="13">
        <v>649</v>
      </c>
      <c r="H38" s="13"/>
      <c r="I38" s="13">
        <v>649</v>
      </c>
      <c r="J38" s="13"/>
      <c r="K38" s="13">
        <v>649</v>
      </c>
      <c r="L38" s="13"/>
      <c r="M38" s="53"/>
      <c r="N38" s="13">
        <v>649</v>
      </c>
      <c r="O38" s="53"/>
      <c r="P38" s="13">
        <v>649</v>
      </c>
      <c r="Q38" s="53"/>
      <c r="R38" s="13">
        <v>649</v>
      </c>
      <c r="S38" s="13"/>
      <c r="T38" s="13"/>
      <c r="U38" s="13">
        <v>649</v>
      </c>
      <c r="V38" s="13"/>
      <c r="W38" s="13">
        <v>649</v>
      </c>
      <c r="X38" s="13"/>
      <c r="Y38" s="13">
        <v>649</v>
      </c>
      <c r="Z38" s="13"/>
      <c r="AA38" s="13"/>
      <c r="AB38" s="13">
        <v>649</v>
      </c>
      <c r="AC38" s="13"/>
      <c r="AD38" s="13">
        <v>649</v>
      </c>
      <c r="AE38" s="13"/>
      <c r="AF38" s="13">
        <v>649</v>
      </c>
      <c r="AG38" s="13"/>
      <c r="AH38" s="22"/>
    </row>
    <row r="39" spans="2:34" s="6" customFormat="1" ht="15.75" x14ac:dyDescent="0.25">
      <c r="B39" s="5" t="s">
        <v>10</v>
      </c>
      <c r="C39" s="40" t="s">
        <v>18</v>
      </c>
      <c r="D39" s="8">
        <v>0.78749999999999998</v>
      </c>
      <c r="E39" s="8"/>
      <c r="F39" s="8"/>
      <c r="G39" s="8">
        <v>0.78749999999999998</v>
      </c>
      <c r="H39" s="8"/>
      <c r="I39" s="8">
        <v>0.78749999999999998</v>
      </c>
      <c r="J39" s="8"/>
      <c r="K39" s="8">
        <v>0.78749999999999998</v>
      </c>
      <c r="L39" s="8"/>
      <c r="M39" s="52"/>
      <c r="N39" s="8">
        <v>0.78749999999999998</v>
      </c>
      <c r="O39" s="52"/>
      <c r="P39" s="8">
        <v>0.78749999999999998</v>
      </c>
      <c r="Q39" s="52"/>
      <c r="R39" s="8">
        <v>0.83333333333333337</v>
      </c>
      <c r="S39" s="8"/>
      <c r="T39" s="8"/>
      <c r="U39" s="8">
        <v>0.83333333333333337</v>
      </c>
      <c r="V39" s="8"/>
      <c r="W39" s="8">
        <v>0.83333333333333337</v>
      </c>
      <c r="X39" s="8"/>
      <c r="Y39" s="8">
        <v>0.83333333333333337</v>
      </c>
      <c r="Z39" s="8"/>
      <c r="AA39" s="8"/>
      <c r="AB39" s="8">
        <v>0.83333333333333337</v>
      </c>
      <c r="AC39" s="8"/>
      <c r="AD39" s="8">
        <v>0.83333333333333337</v>
      </c>
      <c r="AE39" s="8"/>
      <c r="AF39" s="8">
        <v>0.83333333333333337</v>
      </c>
      <c r="AG39" s="8"/>
      <c r="AH39" s="21"/>
    </row>
    <row r="40" spans="2:34" s="1" customFormat="1" ht="16.5" thickBot="1" x14ac:dyDescent="0.3">
      <c r="B40" s="23" t="s">
        <v>11</v>
      </c>
      <c r="C40" s="41" t="s">
        <v>18</v>
      </c>
      <c r="D40" s="24">
        <f>D39-D37</f>
        <v>6.944444444444442E-2</v>
      </c>
      <c r="E40" s="24"/>
      <c r="F40" s="24"/>
      <c r="G40" s="24">
        <f>G39-G37</f>
        <v>6.944444444444442E-2</v>
      </c>
      <c r="H40" s="24"/>
      <c r="I40" s="24">
        <f>I39-I37</f>
        <v>6.944444444444442E-2</v>
      </c>
      <c r="J40" s="24"/>
      <c r="K40" s="24">
        <f>K39-K37</f>
        <v>6.944444444444442E-2</v>
      </c>
      <c r="L40" s="24"/>
      <c r="M40" s="55"/>
      <c r="N40" s="24">
        <f>N39-N37</f>
        <v>6.944444444444442E-2</v>
      </c>
      <c r="O40" s="55"/>
      <c r="P40" s="24">
        <f>P39-P37</f>
        <v>6.944444444444442E-2</v>
      </c>
      <c r="Q40" s="55"/>
      <c r="R40" s="24">
        <f>R39-R37</f>
        <v>0.11527777777777781</v>
      </c>
      <c r="S40" s="24"/>
      <c r="T40" s="24"/>
      <c r="U40" s="24">
        <f>U39-U37</f>
        <v>0.13402777777777786</v>
      </c>
      <c r="V40" s="24"/>
      <c r="W40" s="24">
        <f>W39-W37</f>
        <v>0.13402777777777786</v>
      </c>
      <c r="X40" s="24"/>
      <c r="Y40" s="24">
        <f>Y39-Y37</f>
        <v>0.13402777777777786</v>
      </c>
      <c r="Z40" s="24"/>
      <c r="AA40" s="24"/>
      <c r="AB40" s="24">
        <f>AB39-AB37</f>
        <v>0.13402777777777786</v>
      </c>
      <c r="AC40" s="24"/>
      <c r="AD40" s="24">
        <f>AD39-AD37</f>
        <v>0.13402777777777786</v>
      </c>
      <c r="AE40" s="24"/>
      <c r="AF40" s="24">
        <f>AF39-AF37</f>
        <v>0.13402777777777786</v>
      </c>
      <c r="AG40" s="24"/>
      <c r="AH40" s="25"/>
    </row>
    <row r="41" spans="2:34" s="4" customFormat="1" ht="15.75" x14ac:dyDescent="0.25">
      <c r="B41" s="18" t="s">
        <v>8</v>
      </c>
      <c r="C41" s="39" t="s">
        <v>14</v>
      </c>
      <c r="D41" s="19">
        <v>6993</v>
      </c>
      <c r="E41" s="19">
        <v>6993</v>
      </c>
      <c r="F41" s="19">
        <v>6993</v>
      </c>
      <c r="G41" s="19">
        <v>6993</v>
      </c>
      <c r="H41" s="19">
        <v>6993</v>
      </c>
      <c r="I41" s="19">
        <v>6993</v>
      </c>
      <c r="J41" s="19">
        <v>6993</v>
      </c>
      <c r="K41" s="19">
        <v>6993</v>
      </c>
      <c r="L41" s="19">
        <v>6993</v>
      </c>
      <c r="M41" s="19">
        <v>6993</v>
      </c>
      <c r="N41" s="19">
        <v>6993</v>
      </c>
      <c r="O41" s="19">
        <v>6993</v>
      </c>
      <c r="P41" s="19">
        <v>6993</v>
      </c>
      <c r="Q41" s="19">
        <v>6993</v>
      </c>
      <c r="R41" s="105">
        <v>6993</v>
      </c>
      <c r="S41" s="19">
        <v>6993</v>
      </c>
      <c r="T41" s="19">
        <v>6993</v>
      </c>
      <c r="U41" s="19">
        <v>6993</v>
      </c>
      <c r="V41" s="19">
        <v>6993</v>
      </c>
      <c r="W41" s="19"/>
      <c r="X41" s="19">
        <v>6993</v>
      </c>
      <c r="Y41" s="19">
        <v>6993</v>
      </c>
      <c r="Z41" s="19">
        <v>6993</v>
      </c>
      <c r="AA41" s="19">
        <v>6993</v>
      </c>
      <c r="AB41" s="19">
        <v>6993</v>
      </c>
      <c r="AC41" s="19">
        <v>6993</v>
      </c>
      <c r="AD41" s="19"/>
      <c r="AE41" s="19">
        <v>6993</v>
      </c>
      <c r="AF41" s="19">
        <v>6993</v>
      </c>
      <c r="AG41" s="19">
        <v>6993</v>
      </c>
      <c r="AH41" s="19"/>
    </row>
    <row r="42" spans="2:34" s="4" customFormat="1" ht="15.75" x14ac:dyDescent="0.25">
      <c r="B42" s="5" t="s">
        <v>13</v>
      </c>
      <c r="C42" s="40" t="s">
        <v>14</v>
      </c>
      <c r="D42" s="8">
        <v>0.65694444444444444</v>
      </c>
      <c r="E42" s="8">
        <v>0.65694444444444444</v>
      </c>
      <c r="F42" s="8">
        <v>0.65694444444444444</v>
      </c>
      <c r="G42" s="8">
        <v>0.65694444444444444</v>
      </c>
      <c r="H42" s="8">
        <v>0.65694444444444444</v>
      </c>
      <c r="I42" s="8">
        <v>0.65694444444444444</v>
      </c>
      <c r="J42" s="8">
        <v>0.65694444444444444</v>
      </c>
      <c r="K42" s="8">
        <v>0.65694444444444444</v>
      </c>
      <c r="L42" s="8">
        <v>0.65694444444444444</v>
      </c>
      <c r="M42" s="8">
        <v>0.65694444444444444</v>
      </c>
      <c r="N42" s="8">
        <v>0.65694444444444444</v>
      </c>
      <c r="O42" s="8">
        <v>0.65694444444444444</v>
      </c>
      <c r="P42" s="8">
        <v>0.65694444444444444</v>
      </c>
      <c r="Q42" s="8">
        <v>0.65694444444444444</v>
      </c>
      <c r="R42" s="58">
        <v>0.70694444444444438</v>
      </c>
      <c r="S42" s="8">
        <v>0.70694444444444438</v>
      </c>
      <c r="T42" s="8">
        <v>0.70694444444444438</v>
      </c>
      <c r="U42" s="8">
        <v>0.70694444444444438</v>
      </c>
      <c r="V42" s="8">
        <v>0.70694444444444438</v>
      </c>
      <c r="W42" s="8"/>
      <c r="X42" s="8">
        <v>0.70694444444444438</v>
      </c>
      <c r="Y42" s="8">
        <v>0.70694444444444438</v>
      </c>
      <c r="Z42" s="8">
        <v>0.70694444444444438</v>
      </c>
      <c r="AA42" s="8">
        <v>0.70694444444444438</v>
      </c>
      <c r="AB42" s="8">
        <v>0.70694444444444438</v>
      </c>
      <c r="AC42" s="8">
        <v>0.70694444444444438</v>
      </c>
      <c r="AD42" s="8"/>
      <c r="AE42" s="8">
        <v>0.70694444444444438</v>
      </c>
      <c r="AF42" s="8">
        <v>0.70694444444444438</v>
      </c>
      <c r="AG42" s="8">
        <v>0.70694444444444438</v>
      </c>
      <c r="AH42" s="8"/>
    </row>
    <row r="43" spans="2:34" s="6" customFormat="1" ht="15.75" x14ac:dyDescent="0.25">
      <c r="B43" s="2" t="s">
        <v>9</v>
      </c>
      <c r="C43" s="40" t="s">
        <v>14</v>
      </c>
      <c r="D43" s="13">
        <v>6994</v>
      </c>
      <c r="E43" s="13">
        <v>6994</v>
      </c>
      <c r="F43" s="13">
        <v>6994</v>
      </c>
      <c r="G43" s="13">
        <v>6994</v>
      </c>
      <c r="H43" s="13">
        <v>6994</v>
      </c>
      <c r="I43" s="13">
        <v>6994</v>
      </c>
      <c r="J43" s="13">
        <v>6994</v>
      </c>
      <c r="K43" s="13">
        <v>6994</v>
      </c>
      <c r="L43" s="13">
        <v>6994</v>
      </c>
      <c r="M43" s="13">
        <v>6994</v>
      </c>
      <c r="N43" s="13">
        <v>6994</v>
      </c>
      <c r="O43" s="13">
        <v>6994</v>
      </c>
      <c r="P43" s="13">
        <v>6994</v>
      </c>
      <c r="Q43" s="13">
        <v>6994</v>
      </c>
      <c r="R43" s="106">
        <v>6994</v>
      </c>
      <c r="S43" s="13">
        <v>6994</v>
      </c>
      <c r="T43" s="13">
        <v>6994</v>
      </c>
      <c r="U43" s="13">
        <v>6994</v>
      </c>
      <c r="V43" s="13">
        <v>6994</v>
      </c>
      <c r="W43" s="13"/>
      <c r="X43" s="13">
        <v>6994</v>
      </c>
      <c r="Y43" s="13">
        <v>6994</v>
      </c>
      <c r="Z43" s="13">
        <v>6994</v>
      </c>
      <c r="AA43" s="13">
        <v>6994</v>
      </c>
      <c r="AB43" s="13">
        <v>6994</v>
      </c>
      <c r="AC43" s="13">
        <v>6994</v>
      </c>
      <c r="AD43" s="13"/>
      <c r="AE43" s="13">
        <v>6994</v>
      </c>
      <c r="AF43" s="13">
        <v>6994</v>
      </c>
      <c r="AG43" s="13">
        <v>6994</v>
      </c>
      <c r="AH43" s="13"/>
    </row>
    <row r="44" spans="2:34" s="6" customFormat="1" ht="15.75" x14ac:dyDescent="0.25">
      <c r="B44" s="5" t="s">
        <v>10</v>
      </c>
      <c r="C44" s="40" t="s">
        <v>14</v>
      </c>
      <c r="D44" s="8">
        <v>1.3541666666666667</v>
      </c>
      <c r="E44" s="8">
        <v>1.3541666666666667</v>
      </c>
      <c r="F44" s="8">
        <v>1.3541666666666667</v>
      </c>
      <c r="G44" s="8">
        <v>1.3541666666666667</v>
      </c>
      <c r="H44" s="8">
        <v>1.3541666666666667</v>
      </c>
      <c r="I44" s="8">
        <v>1.3541666666666667</v>
      </c>
      <c r="J44" s="8">
        <v>1.3541666666666667</v>
      </c>
      <c r="K44" s="8">
        <v>1.3541666666666667</v>
      </c>
      <c r="L44" s="8">
        <v>1.3541666666666667</v>
      </c>
      <c r="M44" s="8">
        <v>1.3541666666666667</v>
      </c>
      <c r="N44" s="8">
        <v>1.3541666666666667</v>
      </c>
      <c r="O44" s="8">
        <v>1.3541666666666667</v>
      </c>
      <c r="P44" s="8">
        <v>1.3541666666666667</v>
      </c>
      <c r="Q44" s="8">
        <v>1.3541666666666667</v>
      </c>
      <c r="R44" s="58">
        <v>1.3958333333333333</v>
      </c>
      <c r="S44" s="8">
        <v>1.3958333333333333</v>
      </c>
      <c r="T44" s="8">
        <v>1.3958333333333333</v>
      </c>
      <c r="U44" s="8">
        <v>1.3958333333333333</v>
      </c>
      <c r="V44" s="8">
        <v>1.3958333333333333</v>
      </c>
      <c r="W44" s="8"/>
      <c r="X44" s="8">
        <v>1.3958333333333333</v>
      </c>
      <c r="Y44" s="8">
        <v>1.3958333333333333</v>
      </c>
      <c r="Z44" s="8">
        <v>1.3958333333333333</v>
      </c>
      <c r="AA44" s="8">
        <v>1.3958333333333333</v>
      </c>
      <c r="AB44" s="8">
        <v>1.3958333333333333</v>
      </c>
      <c r="AC44" s="8">
        <v>1.3958333333333333</v>
      </c>
      <c r="AD44" s="8"/>
      <c r="AE44" s="8">
        <v>1.3958333333333333</v>
      </c>
      <c r="AF44" s="8">
        <v>1.3958333333333333</v>
      </c>
      <c r="AG44" s="8">
        <v>1.3958333333333333</v>
      </c>
      <c r="AH44" s="8"/>
    </row>
    <row r="45" spans="2:34" s="1" customFormat="1" ht="16.5" thickBot="1" x14ac:dyDescent="0.3">
      <c r="B45" s="23" t="s">
        <v>11</v>
      </c>
      <c r="C45" s="41" t="s">
        <v>14</v>
      </c>
      <c r="D45" s="24">
        <f t="shared" ref="D45:Q45" si="23">SUM(D44-D42)</f>
        <v>0.6972222222222223</v>
      </c>
      <c r="E45" s="24">
        <f t="shared" si="23"/>
        <v>0.6972222222222223</v>
      </c>
      <c r="F45" s="24">
        <f t="shared" si="23"/>
        <v>0.6972222222222223</v>
      </c>
      <c r="G45" s="24">
        <f t="shared" si="23"/>
        <v>0.6972222222222223</v>
      </c>
      <c r="H45" s="24">
        <f t="shared" si="23"/>
        <v>0.6972222222222223</v>
      </c>
      <c r="I45" s="24">
        <f t="shared" si="23"/>
        <v>0.6972222222222223</v>
      </c>
      <c r="J45" s="24">
        <f t="shared" si="23"/>
        <v>0.6972222222222223</v>
      </c>
      <c r="K45" s="24">
        <f t="shared" si="23"/>
        <v>0.6972222222222223</v>
      </c>
      <c r="L45" s="24">
        <f t="shared" si="23"/>
        <v>0.6972222222222223</v>
      </c>
      <c r="M45" s="24">
        <f t="shared" si="23"/>
        <v>0.6972222222222223</v>
      </c>
      <c r="N45" s="24">
        <f t="shared" si="23"/>
        <v>0.6972222222222223</v>
      </c>
      <c r="O45" s="24">
        <f t="shared" si="23"/>
        <v>0.6972222222222223</v>
      </c>
      <c r="P45" s="24">
        <f t="shared" si="23"/>
        <v>0.6972222222222223</v>
      </c>
      <c r="Q45" s="24">
        <f t="shared" si="23"/>
        <v>0.6972222222222223</v>
      </c>
      <c r="R45" s="24">
        <v>0.68749999999999989</v>
      </c>
      <c r="S45" s="24">
        <f t="shared" ref="S45:V45" si="24">SUM(S44-S42)</f>
        <v>0.68888888888888888</v>
      </c>
      <c r="T45" s="24">
        <f t="shared" si="24"/>
        <v>0.68888888888888888</v>
      </c>
      <c r="U45" s="24">
        <f t="shared" si="24"/>
        <v>0.68888888888888888</v>
      </c>
      <c r="V45" s="24">
        <f t="shared" si="24"/>
        <v>0.68888888888888888</v>
      </c>
      <c r="W45" s="24"/>
      <c r="X45" s="24">
        <f t="shared" ref="X45" si="25">SUM(X44-X42)</f>
        <v>0.68888888888888888</v>
      </c>
      <c r="Y45" s="24">
        <v>0.68749999999999989</v>
      </c>
      <c r="Z45" s="24">
        <f t="shared" ref="Z45:AC45" si="26">SUM(Z44-Z42)</f>
        <v>0.68888888888888888</v>
      </c>
      <c r="AA45" s="24">
        <f t="shared" si="26"/>
        <v>0.68888888888888888</v>
      </c>
      <c r="AB45" s="24">
        <f t="shared" si="26"/>
        <v>0.68888888888888888</v>
      </c>
      <c r="AC45" s="24">
        <f t="shared" si="26"/>
        <v>0.68888888888888888</v>
      </c>
      <c r="AD45" s="24"/>
      <c r="AE45" s="24">
        <v>0.68749999999999989</v>
      </c>
      <c r="AF45" s="24">
        <v>0.68749999999999989</v>
      </c>
      <c r="AG45" s="24">
        <v>0.68749999999999989</v>
      </c>
      <c r="AH45" s="24"/>
    </row>
    <row r="46" spans="2:34" s="1" customFormat="1" ht="15.75" x14ac:dyDescent="0.25">
      <c r="AH46" s="9"/>
    </row>
    <row r="47" spans="2:34" x14ac:dyDescent="0.25">
      <c r="B47" s="61" t="s">
        <v>17</v>
      </c>
    </row>
  </sheetData>
  <mergeCells count="5">
    <mergeCell ref="B5:AH5"/>
    <mergeCell ref="D2:AH2"/>
    <mergeCell ref="K1:W1"/>
    <mergeCell ref="B3:B4"/>
    <mergeCell ref="C3:C4"/>
  </mergeCells>
  <phoneticPr fontId="14" type="noConversion"/>
  <pageMargins left="0.70866141732283472" right="0.70866141732283472" top="0.74803149606299213" bottom="0.74803149606299213" header="0.31496062992125984" footer="0.31496062992125984"/>
  <pageSetup paperSize="9" scale="3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0"/>
  <sheetViews>
    <sheetView view="pageBreakPreview" zoomScale="60" zoomScaleNormal="70" workbookViewId="0">
      <selection activeCell="D11" sqref="D11"/>
    </sheetView>
  </sheetViews>
  <sheetFormatPr defaultRowHeight="15" x14ac:dyDescent="0.25"/>
  <cols>
    <col min="1" max="1" width="38.28515625" customWidth="1"/>
    <col min="6" max="6" width="8.28515625" customWidth="1"/>
    <col min="7" max="8" width="9.140625" customWidth="1"/>
  </cols>
  <sheetData>
    <row r="1" spans="1:33" ht="16.5" thickBot="1" x14ac:dyDescent="0.3">
      <c r="A1" s="1"/>
      <c r="B1" s="1"/>
      <c r="C1" s="1"/>
      <c r="D1" s="1"/>
      <c r="E1" s="1"/>
      <c r="F1" s="1"/>
      <c r="G1" s="1"/>
      <c r="H1" s="1"/>
      <c r="I1" s="1"/>
      <c r="J1" s="114" t="s">
        <v>23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6.5" thickBot="1" x14ac:dyDescent="0.3">
      <c r="A2" s="7"/>
      <c r="B2" s="7"/>
      <c r="C2" s="119" t="s">
        <v>31</v>
      </c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</row>
    <row r="3" spans="1:33" ht="15.75" x14ac:dyDescent="0.25">
      <c r="A3" s="115" t="s">
        <v>0</v>
      </c>
      <c r="B3" s="117" t="s">
        <v>1</v>
      </c>
      <c r="C3" s="10">
        <v>1</v>
      </c>
      <c r="D3" s="11">
        <v>2</v>
      </c>
      <c r="E3" s="11">
        <v>3</v>
      </c>
      <c r="F3" s="11">
        <v>4</v>
      </c>
      <c r="G3" s="11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  <c r="U3" s="11">
        <v>19</v>
      </c>
      <c r="V3" s="11">
        <v>20</v>
      </c>
      <c r="W3" s="11">
        <v>21</v>
      </c>
      <c r="X3" s="11">
        <v>22</v>
      </c>
      <c r="Y3" s="11">
        <v>23</v>
      </c>
      <c r="Z3" s="11">
        <v>24</v>
      </c>
      <c r="AA3" s="11">
        <v>25</v>
      </c>
      <c r="AB3" s="11">
        <v>26</v>
      </c>
      <c r="AC3" s="12">
        <v>27</v>
      </c>
      <c r="AD3" s="12">
        <v>28</v>
      </c>
      <c r="AE3" s="11">
        <v>29</v>
      </c>
      <c r="AF3" s="11">
        <v>30</v>
      </c>
      <c r="AG3" s="14">
        <v>31</v>
      </c>
    </row>
    <row r="4" spans="1:33" ht="16.5" thickBot="1" x14ac:dyDescent="0.3">
      <c r="A4" s="116"/>
      <c r="B4" s="118"/>
      <c r="C4" s="15" t="s">
        <v>7</v>
      </c>
      <c r="D4" s="96" t="s">
        <v>2</v>
      </c>
      <c r="E4" s="74" t="s">
        <v>12</v>
      </c>
      <c r="F4" s="96" t="s">
        <v>3</v>
      </c>
      <c r="G4" s="74" t="s">
        <v>4</v>
      </c>
      <c r="H4" s="96" t="s">
        <v>5</v>
      </c>
      <c r="I4" s="74" t="s">
        <v>6</v>
      </c>
      <c r="J4" s="96" t="s">
        <v>7</v>
      </c>
      <c r="K4" s="74" t="s">
        <v>2</v>
      </c>
      <c r="L4" s="96" t="s">
        <v>12</v>
      </c>
      <c r="M4" s="74" t="s">
        <v>3</v>
      </c>
      <c r="N4" s="96" t="s">
        <v>4</v>
      </c>
      <c r="O4" s="74" t="s">
        <v>5</v>
      </c>
      <c r="P4" s="96" t="s">
        <v>6</v>
      </c>
      <c r="Q4" s="74" t="s">
        <v>7</v>
      </c>
      <c r="R4" s="96" t="s">
        <v>2</v>
      </c>
      <c r="S4" s="74" t="s">
        <v>12</v>
      </c>
      <c r="T4" s="96" t="s">
        <v>3</v>
      </c>
      <c r="U4" s="74" t="s">
        <v>4</v>
      </c>
      <c r="V4" s="96" t="s">
        <v>5</v>
      </c>
      <c r="W4" s="74" t="s">
        <v>6</v>
      </c>
      <c r="X4" s="96" t="s">
        <v>7</v>
      </c>
      <c r="Y4" s="74" t="s">
        <v>2</v>
      </c>
      <c r="Z4" s="96" t="s">
        <v>12</v>
      </c>
      <c r="AA4" s="74" t="s">
        <v>3</v>
      </c>
      <c r="AB4" s="96" t="s">
        <v>4</v>
      </c>
      <c r="AC4" s="74" t="s">
        <v>5</v>
      </c>
      <c r="AD4" s="96" t="s">
        <v>6</v>
      </c>
      <c r="AE4" s="74" t="s">
        <v>7</v>
      </c>
      <c r="AF4" s="96" t="s">
        <v>2</v>
      </c>
      <c r="AG4" s="74" t="s">
        <v>12</v>
      </c>
    </row>
    <row r="5" spans="1:33" ht="20.25" thickBot="1" x14ac:dyDescent="0.4">
      <c r="A5" s="108" t="s">
        <v>19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10"/>
    </row>
    <row r="6" spans="1:33" ht="15.75" x14ac:dyDescent="0.25">
      <c r="A6" s="28" t="s">
        <v>8</v>
      </c>
      <c r="B6" s="43" t="s">
        <v>14</v>
      </c>
      <c r="C6" s="34"/>
      <c r="D6" s="19">
        <v>657</v>
      </c>
      <c r="E6" s="19"/>
      <c r="F6" s="19">
        <v>657</v>
      </c>
      <c r="G6" s="19"/>
      <c r="H6" s="19">
        <v>657</v>
      </c>
      <c r="I6" s="19"/>
      <c r="J6" s="19">
        <v>657</v>
      </c>
      <c r="K6" s="19"/>
      <c r="L6" s="19">
        <v>657</v>
      </c>
      <c r="M6" s="19"/>
      <c r="N6" s="19">
        <v>657</v>
      </c>
      <c r="O6" s="19"/>
      <c r="P6" s="19">
        <v>657</v>
      </c>
      <c r="Q6" s="19"/>
      <c r="R6" s="19">
        <v>657</v>
      </c>
      <c r="S6" s="19"/>
      <c r="T6" s="19">
        <v>657</v>
      </c>
      <c r="U6" s="19"/>
      <c r="V6" s="19">
        <v>657</v>
      </c>
      <c r="W6" s="19"/>
      <c r="X6" s="19">
        <v>657</v>
      </c>
      <c r="Y6" s="19"/>
      <c r="Z6" s="19">
        <v>657</v>
      </c>
      <c r="AA6" s="19"/>
      <c r="AB6" s="19">
        <v>657</v>
      </c>
      <c r="AC6" s="19"/>
      <c r="AD6" s="19">
        <v>657</v>
      </c>
      <c r="AE6" s="19"/>
      <c r="AF6" s="19">
        <v>657</v>
      </c>
      <c r="AG6" s="20"/>
    </row>
    <row r="7" spans="1:33" ht="15.75" x14ac:dyDescent="0.25">
      <c r="A7" s="29" t="s">
        <v>13</v>
      </c>
      <c r="B7" s="64" t="s">
        <v>14</v>
      </c>
      <c r="C7" s="27"/>
      <c r="D7" s="8">
        <v>0.28263888888888888</v>
      </c>
      <c r="E7" s="8"/>
      <c r="F7" s="8">
        <v>0.28263888888888888</v>
      </c>
      <c r="G7" s="8"/>
      <c r="H7" s="8">
        <v>0.28263888888888888</v>
      </c>
      <c r="I7" s="8"/>
      <c r="J7" s="8">
        <v>0.28263888888888888</v>
      </c>
      <c r="K7" s="8"/>
      <c r="L7" s="8">
        <v>0.28263888888888888</v>
      </c>
      <c r="M7" s="8"/>
      <c r="N7" s="8">
        <v>0.28263888888888888</v>
      </c>
      <c r="O7" s="52"/>
      <c r="P7" s="8">
        <v>0.28263888888888888</v>
      </c>
      <c r="Q7" s="52"/>
      <c r="R7" s="8">
        <v>0.28263888888888888</v>
      </c>
      <c r="S7" s="8"/>
      <c r="T7" s="8">
        <v>0.28263888888888888</v>
      </c>
      <c r="U7" s="8"/>
      <c r="V7" s="8">
        <v>0.28263888888888888</v>
      </c>
      <c r="W7" s="8"/>
      <c r="X7" s="8">
        <v>0.28263888888888888</v>
      </c>
      <c r="Y7" s="8"/>
      <c r="Z7" s="8">
        <v>0.28263888888888888</v>
      </c>
      <c r="AA7" s="8"/>
      <c r="AB7" s="8">
        <v>0.28263888888888888</v>
      </c>
      <c r="AC7" s="52"/>
      <c r="AD7" s="8">
        <v>0.28263888888888888</v>
      </c>
      <c r="AE7" s="8"/>
      <c r="AF7" s="8">
        <v>0.28263888888888888</v>
      </c>
      <c r="AG7" s="8"/>
    </row>
    <row r="8" spans="1:33" ht="15.75" x14ac:dyDescent="0.25">
      <c r="A8" s="30" t="s">
        <v>9</v>
      </c>
      <c r="B8" s="64" t="s">
        <v>14</v>
      </c>
      <c r="C8" s="26"/>
      <c r="D8" s="13">
        <v>6919</v>
      </c>
      <c r="E8" s="13"/>
      <c r="F8" s="13">
        <v>6919</v>
      </c>
      <c r="G8" s="13"/>
      <c r="H8" s="13">
        <v>6919</v>
      </c>
      <c r="I8" s="13"/>
      <c r="J8" s="13">
        <v>658</v>
      </c>
      <c r="K8" s="13"/>
      <c r="L8" s="13">
        <v>658</v>
      </c>
      <c r="M8" s="13"/>
      <c r="N8" s="13">
        <v>658</v>
      </c>
      <c r="O8" s="53"/>
      <c r="P8" s="13">
        <v>658</v>
      </c>
      <c r="Q8" s="53"/>
      <c r="R8" s="13">
        <v>6919</v>
      </c>
      <c r="S8" s="13"/>
      <c r="T8" s="13">
        <v>6919</v>
      </c>
      <c r="U8" s="13"/>
      <c r="V8" s="13">
        <v>6919</v>
      </c>
      <c r="W8" s="13"/>
      <c r="X8" s="13">
        <v>658</v>
      </c>
      <c r="Y8" s="13"/>
      <c r="Z8" s="13">
        <v>658</v>
      </c>
      <c r="AA8" s="13"/>
      <c r="AB8" s="13">
        <v>658</v>
      </c>
      <c r="AC8" s="53"/>
      <c r="AD8" s="13">
        <v>658</v>
      </c>
      <c r="AE8" s="13"/>
      <c r="AF8" s="13">
        <v>6919</v>
      </c>
      <c r="AG8" s="22"/>
    </row>
    <row r="9" spans="1:33" ht="15.75" x14ac:dyDescent="0.25">
      <c r="A9" s="29" t="s">
        <v>10</v>
      </c>
      <c r="B9" s="64" t="s">
        <v>14</v>
      </c>
      <c r="C9" s="27"/>
      <c r="D9" s="8">
        <v>0.3125</v>
      </c>
      <c r="E9" s="8"/>
      <c r="F9" s="8">
        <v>0.3125</v>
      </c>
      <c r="G9" s="8"/>
      <c r="H9" s="8">
        <v>0.3125</v>
      </c>
      <c r="I9" s="8"/>
      <c r="J9" s="8">
        <v>0.90069444444444446</v>
      </c>
      <c r="K9" s="8"/>
      <c r="L9" s="8">
        <v>0.90069444444444446</v>
      </c>
      <c r="M9" s="8"/>
      <c r="N9" s="8">
        <v>0.90069444444444446</v>
      </c>
      <c r="O9" s="52"/>
      <c r="P9" s="8">
        <v>0.90069444444444446</v>
      </c>
      <c r="Q9" s="52"/>
      <c r="R9" s="8">
        <v>0.3125</v>
      </c>
      <c r="S9" s="8"/>
      <c r="T9" s="8">
        <v>0.3125</v>
      </c>
      <c r="U9" s="8"/>
      <c r="V9" s="8">
        <v>0.3125</v>
      </c>
      <c r="W9" s="8"/>
      <c r="X9" s="8">
        <v>0.90069444444444446</v>
      </c>
      <c r="Y9" s="8"/>
      <c r="Z9" s="8">
        <v>0.90069444444444446</v>
      </c>
      <c r="AA9" s="8"/>
      <c r="AB9" s="8">
        <v>0.90069444444444446</v>
      </c>
      <c r="AC9" s="52"/>
      <c r="AD9" s="8">
        <v>0.90069444444444446</v>
      </c>
      <c r="AE9" s="8"/>
      <c r="AF9" s="8">
        <v>0.3125</v>
      </c>
      <c r="AG9" s="8"/>
    </row>
    <row r="10" spans="1:33" ht="16.5" thickBot="1" x14ac:dyDescent="0.3">
      <c r="A10" s="31" t="s">
        <v>11</v>
      </c>
      <c r="B10" s="59" t="s">
        <v>14</v>
      </c>
      <c r="C10" s="35"/>
      <c r="D10" s="35">
        <f>SUM(D9-D7)</f>
        <v>2.9861111111111116E-2</v>
      </c>
      <c r="E10" s="35"/>
      <c r="F10" s="35">
        <f t="shared" ref="F10" si="0">SUM(F9-F7)</f>
        <v>2.9861111111111116E-2</v>
      </c>
      <c r="G10" s="35"/>
      <c r="H10" s="35">
        <f t="shared" ref="H10" si="1">SUM(H9-H7)</f>
        <v>2.9861111111111116E-2</v>
      </c>
      <c r="I10" s="35"/>
      <c r="J10" s="35">
        <f t="shared" ref="D10:J10" si="2">SUM(J9-J7)</f>
        <v>0.61805555555555558</v>
      </c>
      <c r="K10" s="35"/>
      <c r="L10" s="35">
        <f t="shared" ref="L10" si="3">SUM(L9-L7)</f>
        <v>0.61805555555555558</v>
      </c>
      <c r="M10" s="35"/>
      <c r="N10" s="35">
        <f t="shared" ref="N10" si="4">SUM(N9-N7)</f>
        <v>0.61805555555555558</v>
      </c>
      <c r="O10" s="56"/>
      <c r="P10" s="35">
        <f t="shared" ref="P10" si="5">SUM(P9-P7)</f>
        <v>0.61805555555555558</v>
      </c>
      <c r="Q10" s="56"/>
      <c r="R10" s="35">
        <f t="shared" ref="R10" si="6">SUM(R9-R7)</f>
        <v>2.9861111111111116E-2</v>
      </c>
      <c r="S10" s="35"/>
      <c r="T10" s="35">
        <f t="shared" ref="T10" si="7">SUM(T9-T7)</f>
        <v>2.9861111111111116E-2</v>
      </c>
      <c r="U10" s="35"/>
      <c r="V10" s="35">
        <f t="shared" ref="V10" si="8">SUM(V9-V7)</f>
        <v>2.9861111111111116E-2</v>
      </c>
      <c r="W10" s="35"/>
      <c r="X10" s="35">
        <f t="shared" ref="X10" si="9">SUM(X9-X7)</f>
        <v>0.61805555555555558</v>
      </c>
      <c r="Y10" s="35"/>
      <c r="Z10" s="35">
        <f t="shared" ref="Z10" si="10">SUM(Z9-Z7)</f>
        <v>0.61805555555555558</v>
      </c>
      <c r="AA10" s="35"/>
      <c r="AB10" s="35">
        <f t="shared" ref="AB10" si="11">SUM(AB9-AB7)</f>
        <v>0.61805555555555558</v>
      </c>
      <c r="AC10" s="56"/>
      <c r="AD10" s="35">
        <f t="shared" ref="AD10" si="12">SUM(AD9-AD7)</f>
        <v>0.61805555555555558</v>
      </c>
      <c r="AE10" s="35"/>
      <c r="AF10" s="35">
        <f t="shared" ref="AF10" si="13">SUM(AF9-AF7)</f>
        <v>2.9861111111111116E-2</v>
      </c>
      <c r="AG10" s="35"/>
    </row>
    <row r="11" spans="1:33" ht="15.75" x14ac:dyDescent="0.25">
      <c r="A11" s="28" t="s">
        <v>8</v>
      </c>
      <c r="B11" s="43" t="s">
        <v>20</v>
      </c>
      <c r="C11" s="34"/>
      <c r="D11" s="19">
        <v>6920</v>
      </c>
      <c r="E11" s="19"/>
      <c r="F11" s="19">
        <v>6920</v>
      </c>
      <c r="G11" s="19"/>
      <c r="H11" s="19">
        <v>6920</v>
      </c>
      <c r="I11" s="19"/>
      <c r="J11" s="19"/>
      <c r="K11" s="19"/>
      <c r="L11" s="19"/>
      <c r="M11" s="19"/>
      <c r="N11" s="51"/>
      <c r="O11" s="51"/>
      <c r="P11" s="51"/>
      <c r="Q11" s="51"/>
      <c r="R11" s="19">
        <v>6920</v>
      </c>
      <c r="S11" s="19"/>
      <c r="T11" s="19">
        <v>6920</v>
      </c>
      <c r="U11" s="19"/>
      <c r="V11" s="19">
        <v>6920</v>
      </c>
      <c r="W11" s="19"/>
      <c r="X11" s="19"/>
      <c r="Y11" s="19"/>
      <c r="Z11" s="19"/>
      <c r="AA11" s="19"/>
      <c r="AB11" s="19"/>
      <c r="AC11" s="19"/>
      <c r="AD11" s="19"/>
      <c r="AE11" s="19"/>
      <c r="AF11" s="19">
        <v>6920</v>
      </c>
      <c r="AG11" s="20"/>
    </row>
    <row r="12" spans="1:33" ht="15.75" x14ac:dyDescent="0.25">
      <c r="A12" s="29" t="s">
        <v>13</v>
      </c>
      <c r="B12" s="64" t="s">
        <v>20</v>
      </c>
      <c r="C12" s="27"/>
      <c r="D12" s="8">
        <v>0.83888888888888891</v>
      </c>
      <c r="E12" s="8"/>
      <c r="F12" s="8">
        <v>0.83888888888888891</v>
      </c>
      <c r="G12" s="8"/>
      <c r="H12" s="8">
        <v>0.83888888888888891</v>
      </c>
      <c r="I12" s="8"/>
      <c r="J12" s="8"/>
      <c r="K12" s="8"/>
      <c r="L12" s="8"/>
      <c r="M12" s="8"/>
      <c r="N12" s="52"/>
      <c r="O12" s="52"/>
      <c r="P12" s="52"/>
      <c r="Q12" s="52"/>
      <c r="R12" s="8">
        <v>0.83888888888888891</v>
      </c>
      <c r="S12" s="8"/>
      <c r="T12" s="8">
        <v>0.83888888888888891</v>
      </c>
      <c r="U12" s="8"/>
      <c r="V12" s="8">
        <v>0.83888888888888891</v>
      </c>
      <c r="W12" s="8"/>
      <c r="X12" s="8"/>
      <c r="Y12" s="8"/>
      <c r="Z12" s="8"/>
      <c r="AA12" s="8"/>
      <c r="AB12" s="8"/>
      <c r="AC12" s="8"/>
      <c r="AD12" s="8"/>
      <c r="AE12" s="8"/>
      <c r="AF12" s="8">
        <v>0.83888888888888891</v>
      </c>
      <c r="AG12" s="21"/>
    </row>
    <row r="13" spans="1:33" ht="15.75" x14ac:dyDescent="0.25">
      <c r="A13" s="30" t="s">
        <v>9</v>
      </c>
      <c r="B13" s="64" t="s">
        <v>20</v>
      </c>
      <c r="C13" s="26"/>
      <c r="D13" s="13">
        <v>658</v>
      </c>
      <c r="E13" s="13"/>
      <c r="F13" s="13">
        <v>658</v>
      </c>
      <c r="G13" s="13"/>
      <c r="H13" s="13">
        <v>658</v>
      </c>
      <c r="I13" s="13"/>
      <c r="J13" s="13"/>
      <c r="K13" s="13"/>
      <c r="L13" s="13"/>
      <c r="M13" s="13"/>
      <c r="N13" s="53"/>
      <c r="O13" s="53"/>
      <c r="P13" s="53"/>
      <c r="Q13" s="53"/>
      <c r="R13" s="13">
        <v>658</v>
      </c>
      <c r="S13" s="13"/>
      <c r="T13" s="13">
        <v>658</v>
      </c>
      <c r="U13" s="13"/>
      <c r="V13" s="13">
        <v>658</v>
      </c>
      <c r="W13" s="13"/>
      <c r="X13" s="13"/>
      <c r="Y13" s="13"/>
      <c r="Z13" s="13"/>
      <c r="AA13" s="13"/>
      <c r="AB13" s="13"/>
      <c r="AC13" s="13"/>
      <c r="AD13" s="13"/>
      <c r="AE13" s="13"/>
      <c r="AF13" s="13">
        <v>658</v>
      </c>
      <c r="AG13" s="22"/>
    </row>
    <row r="14" spans="1:33" ht="15.75" x14ac:dyDescent="0.25">
      <c r="A14" s="29" t="s">
        <v>10</v>
      </c>
      <c r="B14" s="64" t="s">
        <v>20</v>
      </c>
      <c r="C14" s="27"/>
      <c r="D14" s="8">
        <v>0.90069444444444446</v>
      </c>
      <c r="E14" s="8"/>
      <c r="F14" s="8">
        <v>0.90069444444444446</v>
      </c>
      <c r="G14" s="8"/>
      <c r="H14" s="8">
        <v>0.90069444444444446</v>
      </c>
      <c r="I14" s="8"/>
      <c r="J14" s="8"/>
      <c r="K14" s="8"/>
      <c r="L14" s="8"/>
      <c r="M14" s="8"/>
      <c r="N14" s="52"/>
      <c r="O14" s="52"/>
      <c r="P14" s="52"/>
      <c r="Q14" s="52"/>
      <c r="R14" s="8">
        <v>0.90069444444444446</v>
      </c>
      <c r="S14" s="8"/>
      <c r="T14" s="8">
        <v>0.90069444444444446</v>
      </c>
      <c r="U14" s="8"/>
      <c r="V14" s="8">
        <v>0.90069444444444446</v>
      </c>
      <c r="W14" s="8"/>
      <c r="X14" s="8"/>
      <c r="Y14" s="8"/>
      <c r="Z14" s="8"/>
      <c r="AA14" s="8"/>
      <c r="AB14" s="8"/>
      <c r="AC14" s="8"/>
      <c r="AD14" s="8"/>
      <c r="AE14" s="8"/>
      <c r="AF14" s="8">
        <v>0.90069444444444446</v>
      </c>
      <c r="AG14" s="21"/>
    </row>
    <row r="15" spans="1:33" ht="16.5" thickBot="1" x14ac:dyDescent="0.3">
      <c r="A15" s="31" t="s">
        <v>11</v>
      </c>
      <c r="B15" s="64" t="s">
        <v>20</v>
      </c>
      <c r="C15" s="35"/>
      <c r="D15" s="24">
        <f>D14-D12</f>
        <v>6.1805555555555558E-2</v>
      </c>
      <c r="E15" s="24"/>
      <c r="F15" s="24">
        <f>F14-F12</f>
        <v>6.1805555555555558E-2</v>
      </c>
      <c r="G15" s="24"/>
      <c r="H15" s="24">
        <f>H14-H12</f>
        <v>6.1805555555555558E-2</v>
      </c>
      <c r="I15" s="24"/>
      <c r="J15" s="24"/>
      <c r="K15" s="24"/>
      <c r="L15" s="24"/>
      <c r="M15" s="24"/>
      <c r="N15" s="55"/>
      <c r="O15" s="55"/>
      <c r="P15" s="55"/>
      <c r="Q15" s="55"/>
      <c r="R15" s="24">
        <f>R14-R12</f>
        <v>6.1805555555555558E-2</v>
      </c>
      <c r="S15" s="24"/>
      <c r="T15" s="24">
        <f>T14-T12</f>
        <v>6.1805555555555558E-2</v>
      </c>
      <c r="U15" s="24"/>
      <c r="V15" s="24">
        <f>V14-V12</f>
        <v>6.1805555555555558E-2</v>
      </c>
      <c r="W15" s="24"/>
      <c r="X15" s="24"/>
      <c r="Y15" s="24"/>
      <c r="Z15" s="24"/>
      <c r="AA15" s="24"/>
      <c r="AB15" s="24"/>
      <c r="AC15" s="24"/>
      <c r="AD15" s="24"/>
      <c r="AE15" s="24"/>
      <c r="AF15" s="24">
        <f>AF14-AF12</f>
        <v>6.1805555555555558E-2</v>
      </c>
      <c r="AG15" s="25"/>
    </row>
    <row r="16" spans="1:33" ht="15.75" x14ac:dyDescent="0.25">
      <c r="A16" s="28" t="s">
        <v>8</v>
      </c>
      <c r="B16" s="43" t="s">
        <v>14</v>
      </c>
      <c r="C16" s="34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07"/>
      <c r="O16" s="51"/>
      <c r="P16" s="107"/>
      <c r="Q16" s="107"/>
      <c r="R16" s="34"/>
      <c r="S16" s="34"/>
      <c r="T16" s="19"/>
      <c r="U16" s="34"/>
      <c r="V16" s="19"/>
      <c r="W16" s="34"/>
      <c r="X16" s="34"/>
      <c r="Y16" s="34"/>
      <c r="Z16" s="34"/>
      <c r="AA16" s="19"/>
      <c r="AB16" s="34"/>
      <c r="AC16" s="19"/>
      <c r="AD16" s="34"/>
      <c r="AE16" s="34"/>
      <c r="AF16" s="34"/>
      <c r="AG16" s="34"/>
    </row>
    <row r="17" spans="1:33" ht="15.75" x14ac:dyDescent="0.25">
      <c r="A17" s="29" t="s">
        <v>13</v>
      </c>
      <c r="B17" s="64" t="s">
        <v>14</v>
      </c>
      <c r="C17" s="27"/>
      <c r="D17" s="8"/>
      <c r="E17" s="8"/>
      <c r="F17" s="8"/>
      <c r="G17" s="8"/>
      <c r="H17" s="8"/>
      <c r="I17" s="8"/>
      <c r="J17" s="8"/>
      <c r="K17" s="8"/>
      <c r="L17" s="8"/>
      <c r="M17" s="8"/>
      <c r="N17" s="47"/>
      <c r="O17" s="52"/>
      <c r="P17" s="47"/>
      <c r="Q17" s="47"/>
      <c r="R17" s="27"/>
      <c r="S17" s="27"/>
      <c r="T17" s="8"/>
      <c r="U17" s="27"/>
      <c r="V17" s="8"/>
      <c r="W17" s="27"/>
      <c r="X17" s="27"/>
      <c r="Y17" s="27"/>
      <c r="Z17" s="27"/>
      <c r="AA17" s="8"/>
      <c r="AB17" s="27"/>
      <c r="AC17" s="8"/>
      <c r="AD17" s="27"/>
      <c r="AE17" s="27"/>
      <c r="AF17" s="27"/>
      <c r="AG17" s="27"/>
    </row>
    <row r="18" spans="1:33" ht="15.75" x14ac:dyDescent="0.25">
      <c r="A18" s="30" t="s">
        <v>9</v>
      </c>
      <c r="B18" s="64" t="s">
        <v>14</v>
      </c>
      <c r="C18" s="26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46"/>
      <c r="O18" s="53"/>
      <c r="P18" s="46"/>
      <c r="Q18" s="46"/>
      <c r="R18" s="26"/>
      <c r="S18" s="26"/>
      <c r="T18" s="13"/>
      <c r="U18" s="26"/>
      <c r="V18" s="13"/>
      <c r="W18" s="26"/>
      <c r="X18" s="26"/>
      <c r="Y18" s="26"/>
      <c r="Z18" s="26"/>
      <c r="AA18" s="13"/>
      <c r="AB18" s="26"/>
      <c r="AC18" s="13"/>
      <c r="AD18" s="26"/>
      <c r="AE18" s="26"/>
      <c r="AF18" s="26"/>
      <c r="AG18" s="26"/>
    </row>
    <row r="19" spans="1:33" ht="15.75" x14ac:dyDescent="0.25">
      <c r="A19" s="29" t="s">
        <v>10</v>
      </c>
      <c r="B19" s="64" t="s">
        <v>14</v>
      </c>
      <c r="C19" s="27"/>
      <c r="D19" s="8"/>
      <c r="E19" s="8"/>
      <c r="F19" s="8"/>
      <c r="G19" s="8"/>
      <c r="H19" s="8"/>
      <c r="I19" s="8"/>
      <c r="J19" s="8"/>
      <c r="K19" s="8"/>
      <c r="L19" s="8"/>
      <c r="M19" s="8"/>
      <c r="N19" s="47"/>
      <c r="O19" s="52"/>
      <c r="P19" s="47"/>
      <c r="Q19" s="47"/>
      <c r="R19" s="27"/>
      <c r="S19" s="27"/>
      <c r="T19" s="8"/>
      <c r="U19" s="27"/>
      <c r="V19" s="8"/>
      <c r="W19" s="27"/>
      <c r="X19" s="27"/>
      <c r="Y19" s="27"/>
      <c r="Z19" s="27"/>
      <c r="AA19" s="8"/>
      <c r="AB19" s="27"/>
      <c r="AC19" s="8"/>
      <c r="AD19" s="27"/>
      <c r="AE19" s="27"/>
      <c r="AF19" s="27"/>
      <c r="AG19" s="27"/>
    </row>
    <row r="20" spans="1:33" ht="16.5" thickBot="1" x14ac:dyDescent="0.3">
      <c r="A20" s="31" t="s">
        <v>11</v>
      </c>
      <c r="B20" s="59" t="s">
        <v>14</v>
      </c>
      <c r="C20" s="37"/>
      <c r="D20" s="24"/>
      <c r="E20" s="24"/>
      <c r="F20" s="24"/>
      <c r="G20" s="24"/>
      <c r="H20" s="24"/>
      <c r="I20" s="24"/>
      <c r="J20" s="24"/>
      <c r="K20" s="35"/>
      <c r="L20" s="24"/>
      <c r="M20" s="35"/>
      <c r="N20" s="24"/>
      <c r="O20" s="35"/>
      <c r="P20" s="24"/>
      <c r="Q20" s="37"/>
      <c r="R20" s="24"/>
      <c r="S20" s="24"/>
      <c r="T20" s="24"/>
      <c r="U20" s="24"/>
      <c r="V20" s="35"/>
      <c r="W20" s="24"/>
      <c r="X20" s="37"/>
      <c r="Y20" s="24"/>
      <c r="Z20" s="24"/>
      <c r="AA20" s="35"/>
      <c r="AB20" s="24"/>
      <c r="AC20" s="35"/>
      <c r="AD20" s="24"/>
      <c r="AE20" s="37"/>
      <c r="AF20" s="24"/>
      <c r="AG20" s="24"/>
    </row>
    <row r="21" spans="1:33" ht="15.75" x14ac:dyDescent="0.25">
      <c r="A21" s="28" t="s">
        <v>8</v>
      </c>
      <c r="B21" s="43" t="s">
        <v>14</v>
      </c>
      <c r="C21" s="34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spans="1:33" ht="15.75" x14ac:dyDescent="0.25">
      <c r="A22" s="29" t="s">
        <v>13</v>
      </c>
      <c r="B22" s="64" t="s">
        <v>14</v>
      </c>
      <c r="C22" s="2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1:33" ht="15.75" x14ac:dyDescent="0.25">
      <c r="A23" s="30" t="s">
        <v>9</v>
      </c>
      <c r="B23" s="64" t="s">
        <v>14</v>
      </c>
      <c r="C23" s="26"/>
      <c r="D23" s="13"/>
      <c r="E23" s="13"/>
      <c r="F23" s="13"/>
      <c r="G23" s="13"/>
      <c r="H23" s="13"/>
      <c r="I23" s="13"/>
      <c r="J23" s="26"/>
      <c r="K23" s="13"/>
      <c r="L23" s="13"/>
      <c r="M23" s="13"/>
      <c r="N23" s="13"/>
      <c r="O23" s="26"/>
      <c r="P23" s="13"/>
      <c r="Q23" s="26"/>
      <c r="R23" s="13"/>
      <c r="S23" s="26"/>
      <c r="T23" s="13"/>
      <c r="U23" s="26"/>
      <c r="V23" s="13"/>
      <c r="W23" s="26"/>
      <c r="X23" s="26"/>
      <c r="Y23" s="26"/>
      <c r="Z23" s="13"/>
      <c r="AA23" s="26"/>
      <c r="AB23" s="13"/>
      <c r="AC23" s="26"/>
      <c r="AD23" s="13"/>
      <c r="AE23" s="26"/>
      <c r="AF23" s="13"/>
      <c r="AG23" s="26"/>
    </row>
    <row r="24" spans="1:33" ht="15.75" x14ac:dyDescent="0.25">
      <c r="A24" s="29" t="s">
        <v>10</v>
      </c>
      <c r="B24" s="64" t="s">
        <v>14</v>
      </c>
      <c r="C24" s="27"/>
      <c r="D24" s="8"/>
      <c r="E24" s="8"/>
      <c r="F24" s="8"/>
      <c r="G24" s="8"/>
      <c r="H24" s="8"/>
      <c r="I24" s="8"/>
      <c r="J24" s="27"/>
      <c r="K24" s="8"/>
      <c r="L24" s="8"/>
      <c r="M24" s="8"/>
      <c r="N24" s="8"/>
      <c r="O24" s="27"/>
      <c r="P24" s="8"/>
      <c r="Q24" s="27"/>
      <c r="R24" s="8"/>
      <c r="S24" s="27"/>
      <c r="T24" s="8"/>
      <c r="U24" s="27"/>
      <c r="V24" s="8"/>
      <c r="W24" s="27"/>
      <c r="X24" s="27"/>
      <c r="Y24" s="27"/>
      <c r="Z24" s="8"/>
      <c r="AA24" s="27"/>
      <c r="AB24" s="8"/>
      <c r="AC24" s="27"/>
      <c r="AD24" s="8"/>
      <c r="AE24" s="27"/>
      <c r="AF24" s="8"/>
      <c r="AG24" s="27"/>
    </row>
    <row r="25" spans="1:33" ht="16.5" thickBot="1" x14ac:dyDescent="0.3">
      <c r="A25" s="31" t="s">
        <v>11</v>
      </c>
      <c r="B25" s="59" t="s">
        <v>14</v>
      </c>
      <c r="C25" s="35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9" spans="1:33" x14ac:dyDescent="0.25">
      <c r="G29" s="62"/>
      <c r="H29" s="62"/>
    </row>
    <row r="30" spans="1:33" x14ac:dyDescent="0.25">
      <c r="F30" s="62"/>
      <c r="G30" s="62"/>
    </row>
  </sheetData>
  <mergeCells count="5">
    <mergeCell ref="A3:A4"/>
    <mergeCell ref="B3:B4"/>
    <mergeCell ref="A5:AG5"/>
    <mergeCell ref="J1:V1"/>
    <mergeCell ref="C2:AG2"/>
  </mergeCells>
  <pageMargins left="0.70866141732283472" right="0.70866141732283472" top="0.74803149606299213" bottom="0.74803149606299213" header="0.31496062992125984" footer="0.31496062992125984"/>
  <pageSetup paperSize="9" scale="3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6"/>
  <sheetViews>
    <sheetView view="pageBreakPreview" zoomScale="60" zoomScaleNormal="70" workbookViewId="0">
      <selection activeCell="C3" sqref="C3:AG4"/>
    </sheetView>
  </sheetViews>
  <sheetFormatPr defaultRowHeight="15" x14ac:dyDescent="0.25"/>
  <cols>
    <col min="1" max="1" width="39.7109375" customWidth="1"/>
    <col min="3" max="3" width="11" customWidth="1"/>
  </cols>
  <sheetData>
    <row r="1" spans="1:35" ht="16.5" thickBot="1" x14ac:dyDescent="0.3">
      <c r="A1" s="1"/>
      <c r="B1" s="1"/>
      <c r="C1" s="1"/>
      <c r="D1" s="1"/>
      <c r="E1" s="1"/>
      <c r="F1" s="1"/>
      <c r="G1" s="1"/>
      <c r="H1" s="1"/>
      <c r="I1" s="114" t="s">
        <v>26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5" ht="16.5" thickBot="1" x14ac:dyDescent="0.3">
      <c r="A2" s="7"/>
      <c r="B2" s="7"/>
      <c r="C2" s="119" t="s">
        <v>31</v>
      </c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</row>
    <row r="3" spans="1:35" ht="15.75" x14ac:dyDescent="0.25">
      <c r="A3" s="115" t="s">
        <v>0</v>
      </c>
      <c r="B3" s="117" t="s">
        <v>1</v>
      </c>
      <c r="C3" s="10">
        <v>1</v>
      </c>
      <c r="D3" s="11">
        <v>2</v>
      </c>
      <c r="E3" s="11">
        <v>3</v>
      </c>
      <c r="F3" s="11">
        <v>4</v>
      </c>
      <c r="G3" s="11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  <c r="U3" s="11">
        <v>19</v>
      </c>
      <c r="V3" s="11">
        <v>20</v>
      </c>
      <c r="W3" s="11">
        <v>21</v>
      </c>
      <c r="X3" s="11">
        <v>22</v>
      </c>
      <c r="Y3" s="11">
        <v>23</v>
      </c>
      <c r="Z3" s="11">
        <v>24</v>
      </c>
      <c r="AA3" s="11">
        <v>25</v>
      </c>
      <c r="AB3" s="11">
        <v>26</v>
      </c>
      <c r="AC3" s="12">
        <v>27</v>
      </c>
      <c r="AD3" s="12">
        <v>28</v>
      </c>
      <c r="AE3" s="11">
        <v>29</v>
      </c>
      <c r="AF3" s="11">
        <v>30</v>
      </c>
      <c r="AG3" s="14">
        <v>31</v>
      </c>
    </row>
    <row r="4" spans="1:35" ht="16.5" thickBot="1" x14ac:dyDescent="0.3">
      <c r="A4" s="116"/>
      <c r="B4" s="118"/>
      <c r="C4" s="15" t="s">
        <v>7</v>
      </c>
      <c r="D4" s="96" t="s">
        <v>2</v>
      </c>
      <c r="E4" s="74" t="s">
        <v>12</v>
      </c>
      <c r="F4" s="96" t="s">
        <v>3</v>
      </c>
      <c r="G4" s="74" t="s">
        <v>4</v>
      </c>
      <c r="H4" s="96" t="s">
        <v>5</v>
      </c>
      <c r="I4" s="74" t="s">
        <v>6</v>
      </c>
      <c r="J4" s="96" t="s">
        <v>7</v>
      </c>
      <c r="K4" s="74" t="s">
        <v>2</v>
      </c>
      <c r="L4" s="96" t="s">
        <v>12</v>
      </c>
      <c r="M4" s="74" t="s">
        <v>3</v>
      </c>
      <c r="N4" s="96" t="s">
        <v>4</v>
      </c>
      <c r="O4" s="74" t="s">
        <v>5</v>
      </c>
      <c r="P4" s="96" t="s">
        <v>6</v>
      </c>
      <c r="Q4" s="74" t="s">
        <v>7</v>
      </c>
      <c r="R4" s="96" t="s">
        <v>2</v>
      </c>
      <c r="S4" s="74" t="s">
        <v>12</v>
      </c>
      <c r="T4" s="96" t="s">
        <v>3</v>
      </c>
      <c r="U4" s="74" t="s">
        <v>4</v>
      </c>
      <c r="V4" s="96" t="s">
        <v>5</v>
      </c>
      <c r="W4" s="74" t="s">
        <v>6</v>
      </c>
      <c r="X4" s="16" t="s">
        <v>7</v>
      </c>
      <c r="Y4" s="15" t="s">
        <v>2</v>
      </c>
      <c r="Z4" s="96" t="s">
        <v>12</v>
      </c>
      <c r="AA4" s="74" t="s">
        <v>3</v>
      </c>
      <c r="AB4" s="96" t="s">
        <v>4</v>
      </c>
      <c r="AC4" s="74" t="s">
        <v>5</v>
      </c>
      <c r="AD4" s="96" t="s">
        <v>6</v>
      </c>
      <c r="AE4" s="74" t="s">
        <v>7</v>
      </c>
      <c r="AF4" s="96" t="s">
        <v>2</v>
      </c>
      <c r="AG4" s="74" t="s">
        <v>12</v>
      </c>
    </row>
    <row r="5" spans="1:35" ht="20.25" thickBot="1" x14ac:dyDescent="0.4">
      <c r="A5" s="108" t="s">
        <v>27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10"/>
    </row>
    <row r="6" spans="1:35" ht="15.75" x14ac:dyDescent="0.25">
      <c r="A6" s="28" t="s">
        <v>8</v>
      </c>
      <c r="B6" s="42" t="s">
        <v>32</v>
      </c>
      <c r="C6" s="34">
        <v>314</v>
      </c>
      <c r="D6" s="34">
        <v>314</v>
      </c>
      <c r="E6" s="34">
        <v>314</v>
      </c>
      <c r="F6" s="34">
        <v>314</v>
      </c>
      <c r="G6" s="34">
        <v>314</v>
      </c>
      <c r="H6" s="34">
        <v>314</v>
      </c>
      <c r="I6" s="34">
        <v>314</v>
      </c>
      <c r="J6" s="34">
        <v>314</v>
      </c>
      <c r="K6" s="34">
        <v>314</v>
      </c>
      <c r="L6" s="34">
        <v>314</v>
      </c>
      <c r="M6" s="34">
        <v>314</v>
      </c>
      <c r="N6" s="34">
        <v>314</v>
      </c>
      <c r="O6" s="34">
        <v>314</v>
      </c>
      <c r="P6" s="34">
        <v>314</v>
      </c>
      <c r="Q6" s="34">
        <v>314</v>
      </c>
      <c r="R6" s="34">
        <v>314</v>
      </c>
      <c r="S6" s="34">
        <v>314</v>
      </c>
      <c r="T6" s="34">
        <v>314</v>
      </c>
      <c r="U6" s="34">
        <v>314</v>
      </c>
      <c r="V6" s="34">
        <v>314</v>
      </c>
      <c r="W6" s="34">
        <v>314</v>
      </c>
      <c r="X6" s="34">
        <v>314</v>
      </c>
      <c r="Y6" s="34">
        <v>314</v>
      </c>
      <c r="Z6" s="34">
        <v>314</v>
      </c>
      <c r="AA6" s="34">
        <v>314</v>
      </c>
      <c r="AB6" s="34">
        <v>314</v>
      </c>
      <c r="AC6" s="34">
        <v>314</v>
      </c>
      <c r="AD6" s="34">
        <v>314</v>
      </c>
      <c r="AE6" s="34">
        <v>314</v>
      </c>
      <c r="AF6" s="34">
        <v>314</v>
      </c>
      <c r="AG6" s="34">
        <v>314</v>
      </c>
    </row>
    <row r="7" spans="1:35" ht="15.75" x14ac:dyDescent="0.25">
      <c r="A7" s="29" t="s">
        <v>13</v>
      </c>
      <c r="B7" s="42" t="s">
        <v>32</v>
      </c>
      <c r="C7" s="27">
        <v>0.49722222222222223</v>
      </c>
      <c r="D7" s="27">
        <f>C7</f>
        <v>0.49722222222222223</v>
      </c>
      <c r="E7" s="27">
        <f t="shared" ref="E7:AG8" si="0">D7</f>
        <v>0.49722222222222223</v>
      </c>
      <c r="F7" s="27">
        <f t="shared" si="0"/>
        <v>0.49722222222222223</v>
      </c>
      <c r="G7" s="27">
        <f t="shared" si="0"/>
        <v>0.49722222222222223</v>
      </c>
      <c r="H7" s="27">
        <f t="shared" si="0"/>
        <v>0.49722222222222223</v>
      </c>
      <c r="I7" s="27">
        <f t="shared" si="0"/>
        <v>0.49722222222222223</v>
      </c>
      <c r="J7" s="27">
        <f t="shared" si="0"/>
        <v>0.49722222222222223</v>
      </c>
      <c r="K7" s="27">
        <f t="shared" si="0"/>
        <v>0.49722222222222223</v>
      </c>
      <c r="L7" s="27">
        <f t="shared" si="0"/>
        <v>0.49722222222222223</v>
      </c>
      <c r="M7" s="27">
        <f t="shared" ref="M7:M8" si="1">L7</f>
        <v>0.49722222222222223</v>
      </c>
      <c r="N7" s="27">
        <f t="shared" ref="N7:N8" si="2">M7</f>
        <v>0.49722222222222223</v>
      </c>
      <c r="O7" s="27">
        <f t="shared" ref="O7:O8" si="3">N7</f>
        <v>0.49722222222222223</v>
      </c>
      <c r="P7" s="27">
        <f t="shared" ref="P7:P8" si="4">O7</f>
        <v>0.49722222222222223</v>
      </c>
      <c r="Q7" s="27">
        <f t="shared" ref="Q7:Q8" si="5">P7</f>
        <v>0.49722222222222223</v>
      </c>
      <c r="R7" s="27">
        <v>0.47847222222222224</v>
      </c>
      <c r="S7" s="27">
        <f t="shared" si="0"/>
        <v>0.47847222222222224</v>
      </c>
      <c r="T7" s="27">
        <f t="shared" si="0"/>
        <v>0.47847222222222224</v>
      </c>
      <c r="U7" s="27">
        <f t="shared" si="0"/>
        <v>0.47847222222222224</v>
      </c>
      <c r="V7" s="27">
        <f t="shared" si="0"/>
        <v>0.47847222222222224</v>
      </c>
      <c r="W7" s="27">
        <f t="shared" si="0"/>
        <v>0.47847222222222224</v>
      </c>
      <c r="X7" s="27">
        <f t="shared" si="0"/>
        <v>0.47847222222222224</v>
      </c>
      <c r="Y7" s="27">
        <f t="shared" si="0"/>
        <v>0.47847222222222224</v>
      </c>
      <c r="Z7" s="27">
        <f t="shared" si="0"/>
        <v>0.47847222222222224</v>
      </c>
      <c r="AA7" s="27">
        <f t="shared" si="0"/>
        <v>0.47847222222222224</v>
      </c>
      <c r="AB7" s="27">
        <f t="shared" si="0"/>
        <v>0.47847222222222224</v>
      </c>
      <c r="AC7" s="27">
        <f t="shared" si="0"/>
        <v>0.47847222222222224</v>
      </c>
      <c r="AD7" s="27">
        <f t="shared" si="0"/>
        <v>0.47847222222222224</v>
      </c>
      <c r="AE7" s="27">
        <f t="shared" si="0"/>
        <v>0.47847222222222224</v>
      </c>
      <c r="AF7" s="27">
        <f t="shared" si="0"/>
        <v>0.47847222222222224</v>
      </c>
      <c r="AG7" s="27">
        <f t="shared" si="0"/>
        <v>0.47847222222222224</v>
      </c>
    </row>
    <row r="8" spans="1:35" ht="15.75" x14ac:dyDescent="0.25">
      <c r="A8" s="30" t="s">
        <v>9</v>
      </c>
      <c r="B8" s="42" t="s">
        <v>32</v>
      </c>
      <c r="C8" s="26">
        <v>631</v>
      </c>
      <c r="D8" s="26">
        <f>C8</f>
        <v>631</v>
      </c>
      <c r="E8" s="26">
        <f t="shared" ref="E8:P9" si="6">D8</f>
        <v>631</v>
      </c>
      <c r="F8" s="26">
        <f t="shared" si="6"/>
        <v>631</v>
      </c>
      <c r="G8" s="26">
        <f t="shared" si="6"/>
        <v>631</v>
      </c>
      <c r="H8" s="26">
        <f t="shared" si="6"/>
        <v>631</v>
      </c>
      <c r="I8" s="26">
        <f t="shared" si="6"/>
        <v>631</v>
      </c>
      <c r="J8" s="26">
        <f t="shared" si="6"/>
        <v>631</v>
      </c>
      <c r="K8" s="26">
        <f t="shared" si="6"/>
        <v>631</v>
      </c>
      <c r="L8" s="26">
        <f t="shared" si="6"/>
        <v>631</v>
      </c>
      <c r="M8" s="26">
        <f t="shared" si="1"/>
        <v>631</v>
      </c>
      <c r="N8" s="26">
        <f t="shared" si="2"/>
        <v>631</v>
      </c>
      <c r="O8" s="26">
        <f t="shared" si="3"/>
        <v>631</v>
      </c>
      <c r="P8" s="26">
        <f t="shared" si="4"/>
        <v>631</v>
      </c>
      <c r="Q8" s="26">
        <f t="shared" si="5"/>
        <v>631</v>
      </c>
      <c r="R8" s="26">
        <f t="shared" ref="R8" si="7">Q8</f>
        <v>631</v>
      </c>
      <c r="S8" s="26">
        <f t="shared" si="0"/>
        <v>631</v>
      </c>
      <c r="T8" s="26">
        <f t="shared" si="0"/>
        <v>631</v>
      </c>
      <c r="U8" s="26">
        <f t="shared" si="0"/>
        <v>631</v>
      </c>
      <c r="V8" s="26">
        <f t="shared" si="0"/>
        <v>631</v>
      </c>
      <c r="W8" s="26">
        <f t="shared" si="0"/>
        <v>631</v>
      </c>
      <c r="X8" s="26">
        <f t="shared" si="0"/>
        <v>631</v>
      </c>
      <c r="Y8" s="26">
        <f t="shared" si="0"/>
        <v>631</v>
      </c>
      <c r="Z8" s="26">
        <f t="shared" si="0"/>
        <v>631</v>
      </c>
      <c r="AA8" s="26">
        <f t="shared" si="0"/>
        <v>631</v>
      </c>
      <c r="AB8" s="26">
        <f t="shared" si="0"/>
        <v>631</v>
      </c>
      <c r="AC8" s="26">
        <f t="shared" si="0"/>
        <v>631</v>
      </c>
      <c r="AD8" s="26">
        <f t="shared" si="0"/>
        <v>631</v>
      </c>
      <c r="AE8" s="26">
        <f t="shared" si="0"/>
        <v>631</v>
      </c>
      <c r="AF8" s="26">
        <f t="shared" si="0"/>
        <v>631</v>
      </c>
      <c r="AG8" s="26">
        <f t="shared" ref="AG8" si="8">AF8</f>
        <v>631</v>
      </c>
    </row>
    <row r="9" spans="1:35" ht="15.75" x14ac:dyDescent="0.25">
      <c r="A9" s="29" t="s">
        <v>10</v>
      </c>
      <c r="B9" s="42" t="s">
        <v>32</v>
      </c>
      <c r="C9" s="27">
        <v>0.7729166666666667</v>
      </c>
      <c r="D9" s="27">
        <f>C9</f>
        <v>0.7729166666666667</v>
      </c>
      <c r="E9" s="27">
        <f t="shared" ref="E9:AG9" si="9">D9</f>
        <v>0.7729166666666667</v>
      </c>
      <c r="F9" s="27">
        <f t="shared" si="9"/>
        <v>0.7729166666666667</v>
      </c>
      <c r="G9" s="27">
        <f t="shared" si="9"/>
        <v>0.7729166666666667</v>
      </c>
      <c r="H9" s="27">
        <f t="shared" si="9"/>
        <v>0.7729166666666667</v>
      </c>
      <c r="I9" s="27">
        <f t="shared" si="9"/>
        <v>0.7729166666666667</v>
      </c>
      <c r="J9" s="27">
        <f t="shared" si="9"/>
        <v>0.7729166666666667</v>
      </c>
      <c r="K9" s="27">
        <f t="shared" si="9"/>
        <v>0.7729166666666667</v>
      </c>
      <c r="L9" s="27">
        <f t="shared" si="9"/>
        <v>0.7729166666666667</v>
      </c>
      <c r="M9" s="27">
        <f t="shared" ref="M9" si="10">L9</f>
        <v>0.7729166666666667</v>
      </c>
      <c r="N9" s="27">
        <f t="shared" si="6"/>
        <v>0.7729166666666667</v>
      </c>
      <c r="O9" s="27">
        <f t="shared" si="6"/>
        <v>0.7729166666666667</v>
      </c>
      <c r="P9" s="27">
        <f t="shared" si="6"/>
        <v>0.7729166666666667</v>
      </c>
      <c r="Q9" s="27">
        <v>0.79166666666666663</v>
      </c>
      <c r="R9" s="27">
        <f t="shared" si="9"/>
        <v>0.79166666666666663</v>
      </c>
      <c r="S9" s="27">
        <f t="shared" si="9"/>
        <v>0.79166666666666663</v>
      </c>
      <c r="T9" s="27">
        <f t="shared" si="9"/>
        <v>0.79166666666666663</v>
      </c>
      <c r="U9" s="27">
        <f t="shared" si="9"/>
        <v>0.79166666666666663</v>
      </c>
      <c r="V9" s="27">
        <f t="shared" si="9"/>
        <v>0.79166666666666663</v>
      </c>
      <c r="W9" s="27">
        <f t="shared" si="9"/>
        <v>0.79166666666666663</v>
      </c>
      <c r="X9" s="27">
        <f t="shared" si="9"/>
        <v>0.79166666666666663</v>
      </c>
      <c r="Y9" s="27">
        <f t="shared" si="9"/>
        <v>0.79166666666666663</v>
      </c>
      <c r="Z9" s="27">
        <f t="shared" si="9"/>
        <v>0.79166666666666663</v>
      </c>
      <c r="AA9" s="27">
        <f t="shared" si="9"/>
        <v>0.79166666666666663</v>
      </c>
      <c r="AB9" s="27">
        <f t="shared" si="9"/>
        <v>0.79166666666666663</v>
      </c>
      <c r="AC9" s="27">
        <f t="shared" si="9"/>
        <v>0.79166666666666663</v>
      </c>
      <c r="AD9" s="27">
        <f t="shared" si="9"/>
        <v>0.79166666666666663</v>
      </c>
      <c r="AE9" s="27">
        <f t="shared" si="9"/>
        <v>0.79166666666666663</v>
      </c>
      <c r="AF9" s="27">
        <f t="shared" si="9"/>
        <v>0.79166666666666663</v>
      </c>
      <c r="AG9" s="27">
        <f t="shared" si="9"/>
        <v>0.79166666666666663</v>
      </c>
    </row>
    <row r="10" spans="1:35" ht="16.5" thickBot="1" x14ac:dyDescent="0.3">
      <c r="A10" s="31" t="s">
        <v>11</v>
      </c>
      <c r="B10" s="59" t="s">
        <v>32</v>
      </c>
      <c r="C10" s="35">
        <f>SUM(C9-C7)</f>
        <v>0.27569444444444446</v>
      </c>
      <c r="D10" s="35">
        <f t="shared" ref="D10:AG10" si="11">SUM(D9-D7)</f>
        <v>0.27569444444444446</v>
      </c>
      <c r="E10" s="35">
        <f t="shared" si="11"/>
        <v>0.27569444444444446</v>
      </c>
      <c r="F10" s="35">
        <f t="shared" si="11"/>
        <v>0.27569444444444446</v>
      </c>
      <c r="G10" s="35">
        <f t="shared" si="11"/>
        <v>0.27569444444444446</v>
      </c>
      <c r="H10" s="35">
        <f t="shared" si="11"/>
        <v>0.27569444444444446</v>
      </c>
      <c r="I10" s="35">
        <f t="shared" si="11"/>
        <v>0.27569444444444446</v>
      </c>
      <c r="J10" s="35">
        <f t="shared" si="11"/>
        <v>0.27569444444444446</v>
      </c>
      <c r="K10" s="35">
        <f t="shared" si="11"/>
        <v>0.27569444444444446</v>
      </c>
      <c r="L10" s="35">
        <f t="shared" si="11"/>
        <v>0.27569444444444446</v>
      </c>
      <c r="M10" s="35">
        <f t="shared" si="11"/>
        <v>0.27569444444444446</v>
      </c>
      <c r="N10" s="35">
        <f t="shared" si="11"/>
        <v>0.27569444444444446</v>
      </c>
      <c r="O10" s="35">
        <f t="shared" si="11"/>
        <v>0.27569444444444446</v>
      </c>
      <c r="P10" s="35">
        <f t="shared" si="11"/>
        <v>0.27569444444444446</v>
      </c>
      <c r="Q10" s="35">
        <f t="shared" si="11"/>
        <v>0.2944444444444444</v>
      </c>
      <c r="R10" s="35">
        <f t="shared" si="11"/>
        <v>0.31319444444444439</v>
      </c>
      <c r="S10" s="35">
        <f t="shared" si="11"/>
        <v>0.31319444444444439</v>
      </c>
      <c r="T10" s="35">
        <f t="shared" si="11"/>
        <v>0.31319444444444439</v>
      </c>
      <c r="U10" s="35">
        <f t="shared" si="11"/>
        <v>0.31319444444444439</v>
      </c>
      <c r="V10" s="35">
        <f t="shared" si="11"/>
        <v>0.31319444444444439</v>
      </c>
      <c r="W10" s="35">
        <f t="shared" si="11"/>
        <v>0.31319444444444439</v>
      </c>
      <c r="X10" s="35">
        <f t="shared" si="11"/>
        <v>0.31319444444444439</v>
      </c>
      <c r="Y10" s="35">
        <f t="shared" si="11"/>
        <v>0.31319444444444439</v>
      </c>
      <c r="Z10" s="35">
        <f t="shared" si="11"/>
        <v>0.31319444444444439</v>
      </c>
      <c r="AA10" s="35">
        <f t="shared" si="11"/>
        <v>0.31319444444444439</v>
      </c>
      <c r="AB10" s="35">
        <f t="shared" si="11"/>
        <v>0.31319444444444439</v>
      </c>
      <c r="AC10" s="35">
        <f t="shared" si="11"/>
        <v>0.31319444444444439</v>
      </c>
      <c r="AD10" s="35">
        <f t="shared" si="11"/>
        <v>0.31319444444444439</v>
      </c>
      <c r="AE10" s="35">
        <f t="shared" si="11"/>
        <v>0.31319444444444439</v>
      </c>
      <c r="AF10" s="35">
        <f t="shared" si="11"/>
        <v>0.31319444444444439</v>
      </c>
      <c r="AG10" s="35">
        <f t="shared" si="11"/>
        <v>0.31319444444444439</v>
      </c>
    </row>
    <row r="11" spans="1:35" ht="15.75" customHeight="1" x14ac:dyDescent="0.25">
      <c r="A11" s="28" t="s">
        <v>28</v>
      </c>
      <c r="B11" s="42" t="s">
        <v>32</v>
      </c>
      <c r="C11" s="34">
        <v>632</v>
      </c>
      <c r="D11" s="19">
        <f>C11</f>
        <v>632</v>
      </c>
      <c r="E11" s="19">
        <f t="shared" ref="E11:AF12" si="12">D11</f>
        <v>632</v>
      </c>
      <c r="F11" s="19">
        <f t="shared" si="12"/>
        <v>632</v>
      </c>
      <c r="G11" s="19">
        <f t="shared" si="12"/>
        <v>632</v>
      </c>
      <c r="H11" s="19">
        <f t="shared" si="12"/>
        <v>632</v>
      </c>
      <c r="I11" s="19">
        <f t="shared" si="12"/>
        <v>632</v>
      </c>
      <c r="J11" s="19">
        <f t="shared" si="12"/>
        <v>632</v>
      </c>
      <c r="K11" s="19">
        <f t="shared" si="12"/>
        <v>632</v>
      </c>
      <c r="L11" s="19">
        <f t="shared" si="12"/>
        <v>632</v>
      </c>
      <c r="M11" s="19">
        <f t="shared" si="12"/>
        <v>632</v>
      </c>
      <c r="N11" s="19">
        <f t="shared" si="12"/>
        <v>632</v>
      </c>
      <c r="O11" s="19">
        <f t="shared" si="12"/>
        <v>632</v>
      </c>
      <c r="P11" s="19">
        <f t="shared" si="12"/>
        <v>632</v>
      </c>
      <c r="Q11" s="19">
        <f t="shared" si="12"/>
        <v>632</v>
      </c>
      <c r="R11" s="19">
        <f t="shared" si="12"/>
        <v>632</v>
      </c>
      <c r="S11" s="19">
        <f t="shared" si="12"/>
        <v>632</v>
      </c>
      <c r="T11" s="19">
        <f t="shared" si="12"/>
        <v>632</v>
      </c>
      <c r="U11" s="19">
        <f t="shared" si="12"/>
        <v>632</v>
      </c>
      <c r="V11" s="19">
        <f t="shared" si="12"/>
        <v>632</v>
      </c>
      <c r="W11" s="19">
        <f t="shared" si="12"/>
        <v>632</v>
      </c>
      <c r="X11" s="19">
        <f t="shared" si="12"/>
        <v>632</v>
      </c>
      <c r="Y11" s="19">
        <f t="shared" si="12"/>
        <v>632</v>
      </c>
      <c r="Z11" s="19">
        <f t="shared" si="12"/>
        <v>632</v>
      </c>
      <c r="AA11" s="19">
        <f t="shared" si="12"/>
        <v>632</v>
      </c>
      <c r="AB11" s="19">
        <f t="shared" si="12"/>
        <v>632</v>
      </c>
      <c r="AC11" s="19">
        <f t="shared" si="12"/>
        <v>632</v>
      </c>
      <c r="AD11" s="19">
        <f t="shared" si="12"/>
        <v>632</v>
      </c>
      <c r="AE11" s="19">
        <f t="shared" si="12"/>
        <v>632</v>
      </c>
      <c r="AF11" s="19">
        <f t="shared" si="12"/>
        <v>632</v>
      </c>
      <c r="AG11" s="19">
        <v>632</v>
      </c>
      <c r="AH11" s="121"/>
    </row>
    <row r="12" spans="1:35" ht="15.75" x14ac:dyDescent="0.25">
      <c r="A12" s="29" t="s">
        <v>13</v>
      </c>
      <c r="B12" s="42" t="s">
        <v>32</v>
      </c>
      <c r="C12" s="27">
        <v>0.43472222222222223</v>
      </c>
      <c r="D12" s="8">
        <f>C12</f>
        <v>0.43472222222222223</v>
      </c>
      <c r="E12" s="8">
        <f t="shared" ref="E12:AG12" si="13">D12</f>
        <v>0.43472222222222223</v>
      </c>
      <c r="F12" s="8">
        <f t="shared" si="13"/>
        <v>0.43472222222222223</v>
      </c>
      <c r="G12" s="8">
        <f t="shared" si="13"/>
        <v>0.43472222222222223</v>
      </c>
      <c r="H12" s="8">
        <f t="shared" si="13"/>
        <v>0.43472222222222223</v>
      </c>
      <c r="I12" s="8">
        <f t="shared" si="13"/>
        <v>0.43472222222222223</v>
      </c>
      <c r="J12" s="8">
        <f t="shared" si="13"/>
        <v>0.43472222222222223</v>
      </c>
      <c r="K12" s="8">
        <f t="shared" si="13"/>
        <v>0.43472222222222223</v>
      </c>
      <c r="L12" s="8">
        <f t="shared" si="13"/>
        <v>0.43472222222222223</v>
      </c>
      <c r="M12" s="8">
        <f t="shared" si="12"/>
        <v>0.43472222222222223</v>
      </c>
      <c r="N12" s="8">
        <f t="shared" si="12"/>
        <v>0.43472222222222223</v>
      </c>
      <c r="O12" s="8">
        <f t="shared" si="12"/>
        <v>0.43472222222222223</v>
      </c>
      <c r="P12" s="8">
        <f t="shared" si="12"/>
        <v>0.43472222222222223</v>
      </c>
      <c r="Q12" s="52">
        <v>0.4236111111111111</v>
      </c>
      <c r="R12" s="8">
        <f t="shared" si="13"/>
        <v>0.4236111111111111</v>
      </c>
      <c r="S12" s="8">
        <f t="shared" si="13"/>
        <v>0.4236111111111111</v>
      </c>
      <c r="T12" s="8">
        <f t="shared" si="13"/>
        <v>0.4236111111111111</v>
      </c>
      <c r="U12" s="8">
        <f t="shared" si="13"/>
        <v>0.4236111111111111</v>
      </c>
      <c r="V12" s="8">
        <f t="shared" si="13"/>
        <v>0.4236111111111111</v>
      </c>
      <c r="W12" s="8">
        <f t="shared" si="13"/>
        <v>0.4236111111111111</v>
      </c>
      <c r="X12" s="8">
        <f t="shared" si="13"/>
        <v>0.4236111111111111</v>
      </c>
      <c r="Y12" s="8">
        <f t="shared" si="13"/>
        <v>0.4236111111111111</v>
      </c>
      <c r="Z12" s="8">
        <f t="shared" si="13"/>
        <v>0.4236111111111111</v>
      </c>
      <c r="AA12" s="8">
        <f t="shared" si="13"/>
        <v>0.4236111111111111</v>
      </c>
      <c r="AB12" s="8">
        <f t="shared" si="13"/>
        <v>0.4236111111111111</v>
      </c>
      <c r="AC12" s="8">
        <f t="shared" si="13"/>
        <v>0.4236111111111111</v>
      </c>
      <c r="AD12" s="8">
        <f t="shared" si="13"/>
        <v>0.4236111111111111</v>
      </c>
      <c r="AE12" s="8">
        <f t="shared" si="13"/>
        <v>0.4236111111111111</v>
      </c>
      <c r="AF12" s="8">
        <f t="shared" si="13"/>
        <v>0.4236111111111111</v>
      </c>
      <c r="AG12" s="8">
        <f t="shared" si="13"/>
        <v>0.4236111111111111</v>
      </c>
      <c r="AH12" s="121"/>
    </row>
    <row r="13" spans="1:35" ht="15.75" x14ac:dyDescent="0.25">
      <c r="A13" s="30" t="s">
        <v>29</v>
      </c>
      <c r="B13" s="42" t="s">
        <v>32</v>
      </c>
      <c r="C13" s="13">
        <v>313</v>
      </c>
      <c r="D13" s="13">
        <v>313</v>
      </c>
      <c r="E13" s="13">
        <v>313</v>
      </c>
      <c r="F13" s="13">
        <v>313</v>
      </c>
      <c r="G13" s="13">
        <v>313</v>
      </c>
      <c r="H13" s="13">
        <v>313</v>
      </c>
      <c r="I13" s="13">
        <v>313</v>
      </c>
      <c r="J13" s="13">
        <v>313</v>
      </c>
      <c r="K13" s="13">
        <v>313</v>
      </c>
      <c r="L13" s="13">
        <v>313</v>
      </c>
      <c r="M13" s="53">
        <v>313</v>
      </c>
      <c r="N13" s="53">
        <v>313</v>
      </c>
      <c r="O13" s="53">
        <v>313</v>
      </c>
      <c r="P13" s="53">
        <v>313</v>
      </c>
      <c r="Q13" s="53">
        <v>313</v>
      </c>
      <c r="R13" s="13">
        <v>313</v>
      </c>
      <c r="S13" s="13">
        <v>313</v>
      </c>
      <c r="T13" s="13">
        <v>313</v>
      </c>
      <c r="U13" s="13">
        <v>313</v>
      </c>
      <c r="V13" s="13">
        <v>313</v>
      </c>
      <c r="W13" s="13">
        <v>313</v>
      </c>
      <c r="X13" s="13">
        <v>313</v>
      </c>
      <c r="Y13" s="13">
        <v>313</v>
      </c>
      <c r="Z13" s="13">
        <v>313</v>
      </c>
      <c r="AA13" s="13">
        <v>313</v>
      </c>
      <c r="AB13" s="13">
        <v>313</v>
      </c>
      <c r="AC13" s="13">
        <v>313</v>
      </c>
      <c r="AD13" s="13">
        <v>313</v>
      </c>
      <c r="AE13" s="13">
        <v>313</v>
      </c>
      <c r="AF13" s="13">
        <v>313</v>
      </c>
      <c r="AG13" s="13">
        <v>313</v>
      </c>
      <c r="AH13" s="121"/>
    </row>
    <row r="14" spans="1:35" ht="15.75" x14ac:dyDescent="0.25">
      <c r="A14" s="29" t="s">
        <v>10</v>
      </c>
      <c r="B14" s="42" t="s">
        <v>32</v>
      </c>
      <c r="C14" s="8">
        <v>0.47569444444444442</v>
      </c>
      <c r="D14" s="8">
        <v>0.47569444444444442</v>
      </c>
      <c r="E14" s="8">
        <v>0.47569444444444442</v>
      </c>
      <c r="F14" s="8">
        <v>0.47569444444444442</v>
      </c>
      <c r="G14" s="8">
        <v>0.47569444444444442</v>
      </c>
      <c r="H14" s="8">
        <v>0.47569444444444442</v>
      </c>
      <c r="I14" s="8">
        <v>0.47569444444444442</v>
      </c>
      <c r="J14" s="8">
        <v>0.47569444444444442</v>
      </c>
      <c r="K14" s="8">
        <v>0.47569444444444442</v>
      </c>
      <c r="L14" s="8">
        <v>0.47569444444444442</v>
      </c>
      <c r="M14" s="52">
        <v>0.47569444444444442</v>
      </c>
      <c r="N14" s="52">
        <v>0.47569444444444442</v>
      </c>
      <c r="O14" s="52">
        <v>0.47569444444444442</v>
      </c>
      <c r="P14" s="52">
        <v>0.47569444444444442</v>
      </c>
      <c r="Q14" s="52">
        <v>0.4861111111111111</v>
      </c>
      <c r="R14" s="8">
        <v>0.4861111111111111</v>
      </c>
      <c r="S14" s="8">
        <v>0.4861111111111111</v>
      </c>
      <c r="T14" s="8">
        <v>0.4861111111111111</v>
      </c>
      <c r="U14" s="8">
        <v>0.4861111111111111</v>
      </c>
      <c r="V14" s="8">
        <v>0.4861111111111111</v>
      </c>
      <c r="W14" s="8">
        <v>0.4861111111111111</v>
      </c>
      <c r="X14" s="8">
        <v>0.4861111111111111</v>
      </c>
      <c r="Y14" s="8">
        <v>0.4861111111111111</v>
      </c>
      <c r="Z14" s="8">
        <v>0.4861111111111111</v>
      </c>
      <c r="AA14" s="8">
        <v>0.4861111111111111</v>
      </c>
      <c r="AB14" s="8">
        <v>0.4861111111111111</v>
      </c>
      <c r="AC14" s="8">
        <v>0.4861111111111111</v>
      </c>
      <c r="AD14" s="8">
        <v>0.4861111111111111</v>
      </c>
      <c r="AE14" s="8">
        <v>0.4861111111111111</v>
      </c>
      <c r="AF14" s="8">
        <v>0.4861111111111111</v>
      </c>
      <c r="AG14" s="8">
        <v>0.4861111111111111</v>
      </c>
      <c r="AH14" s="121"/>
    </row>
    <row r="15" spans="1:35" ht="16.5" thickBot="1" x14ac:dyDescent="0.3">
      <c r="A15" s="31" t="s">
        <v>11</v>
      </c>
      <c r="B15" s="59" t="s">
        <v>32</v>
      </c>
      <c r="C15" s="24">
        <f>C14-C12</f>
        <v>4.0972222222222188E-2</v>
      </c>
      <c r="D15" s="24">
        <f t="shared" ref="D15:AG15" si="14">D14-D12</f>
        <v>4.0972222222222188E-2</v>
      </c>
      <c r="E15" s="24">
        <f t="shared" si="14"/>
        <v>4.0972222222222188E-2</v>
      </c>
      <c r="F15" s="24">
        <f t="shared" si="14"/>
        <v>4.0972222222222188E-2</v>
      </c>
      <c r="G15" s="24">
        <f t="shared" si="14"/>
        <v>4.0972222222222188E-2</v>
      </c>
      <c r="H15" s="24">
        <f t="shared" si="14"/>
        <v>4.0972222222222188E-2</v>
      </c>
      <c r="I15" s="24">
        <f t="shared" si="14"/>
        <v>4.0972222222222188E-2</v>
      </c>
      <c r="J15" s="24">
        <f t="shared" si="14"/>
        <v>4.0972222222222188E-2</v>
      </c>
      <c r="K15" s="24">
        <f t="shared" si="14"/>
        <v>4.0972222222222188E-2</v>
      </c>
      <c r="L15" s="24">
        <f t="shared" si="14"/>
        <v>4.0972222222222188E-2</v>
      </c>
      <c r="M15" s="55">
        <f t="shared" si="14"/>
        <v>4.0972222222222188E-2</v>
      </c>
      <c r="N15" s="55">
        <f t="shared" si="14"/>
        <v>4.0972222222222188E-2</v>
      </c>
      <c r="O15" s="55">
        <f t="shared" si="14"/>
        <v>4.0972222222222188E-2</v>
      </c>
      <c r="P15" s="55">
        <f t="shared" si="14"/>
        <v>4.0972222222222188E-2</v>
      </c>
      <c r="Q15" s="55">
        <f t="shared" si="14"/>
        <v>6.25E-2</v>
      </c>
      <c r="R15" s="24">
        <f t="shared" si="14"/>
        <v>6.25E-2</v>
      </c>
      <c r="S15" s="24">
        <f t="shared" si="14"/>
        <v>6.25E-2</v>
      </c>
      <c r="T15" s="24">
        <f t="shared" si="14"/>
        <v>6.25E-2</v>
      </c>
      <c r="U15" s="24">
        <f t="shared" si="14"/>
        <v>6.25E-2</v>
      </c>
      <c r="V15" s="24">
        <f t="shared" si="14"/>
        <v>6.25E-2</v>
      </c>
      <c r="W15" s="24">
        <f t="shared" si="14"/>
        <v>6.25E-2</v>
      </c>
      <c r="X15" s="24">
        <f t="shared" si="14"/>
        <v>6.25E-2</v>
      </c>
      <c r="Y15" s="24">
        <f t="shared" si="14"/>
        <v>6.25E-2</v>
      </c>
      <c r="Z15" s="24">
        <f t="shared" si="14"/>
        <v>6.25E-2</v>
      </c>
      <c r="AA15" s="24">
        <f t="shared" si="14"/>
        <v>6.25E-2</v>
      </c>
      <c r="AB15" s="24">
        <f t="shared" si="14"/>
        <v>6.25E-2</v>
      </c>
      <c r="AC15" s="24">
        <f t="shared" si="14"/>
        <v>6.25E-2</v>
      </c>
      <c r="AD15" s="24">
        <f t="shared" si="14"/>
        <v>6.25E-2</v>
      </c>
      <c r="AE15" s="24">
        <f t="shared" si="14"/>
        <v>6.25E-2</v>
      </c>
      <c r="AF15" s="24">
        <f t="shared" si="14"/>
        <v>6.25E-2</v>
      </c>
      <c r="AG15" s="24">
        <f t="shared" si="14"/>
        <v>6.25E-2</v>
      </c>
      <c r="AH15" s="121"/>
    </row>
    <row r="16" spans="1:35" ht="15.75" x14ac:dyDescent="0.25">
      <c r="A16" s="32" t="s">
        <v>8</v>
      </c>
      <c r="B16" s="42" t="s">
        <v>18</v>
      </c>
      <c r="C16" s="36"/>
      <c r="D16" s="82">
        <v>30</v>
      </c>
      <c r="E16" s="83"/>
      <c r="F16" s="82">
        <v>30</v>
      </c>
      <c r="G16" s="83"/>
      <c r="H16" s="82">
        <v>30</v>
      </c>
      <c r="I16" s="83"/>
      <c r="J16" s="82">
        <v>30</v>
      </c>
      <c r="K16" s="83"/>
      <c r="L16" s="82">
        <v>30</v>
      </c>
      <c r="M16" s="83"/>
      <c r="N16" s="82">
        <v>30</v>
      </c>
      <c r="O16" s="83"/>
      <c r="P16" s="82">
        <v>30</v>
      </c>
      <c r="Q16" s="83"/>
      <c r="R16" s="82">
        <v>30</v>
      </c>
      <c r="S16" s="83"/>
      <c r="T16" s="82">
        <v>30</v>
      </c>
      <c r="U16" s="83"/>
      <c r="V16" s="82">
        <v>30</v>
      </c>
      <c r="W16" s="83"/>
      <c r="X16" s="82">
        <v>30</v>
      </c>
      <c r="Y16" s="83"/>
      <c r="Z16" s="82">
        <v>30</v>
      </c>
      <c r="AA16" s="83"/>
      <c r="AB16" s="82">
        <v>30</v>
      </c>
      <c r="AC16" s="83"/>
      <c r="AD16" s="82">
        <v>30</v>
      </c>
      <c r="AE16" s="83"/>
      <c r="AF16" s="82">
        <v>30</v>
      </c>
      <c r="AG16" s="83"/>
      <c r="AH16" s="121"/>
      <c r="AI16" s="84"/>
    </row>
    <row r="17" spans="1:35" ht="15.75" x14ac:dyDescent="0.25">
      <c r="A17" s="29" t="s">
        <v>13</v>
      </c>
      <c r="B17" s="42" t="s">
        <v>18</v>
      </c>
      <c r="C17" s="27"/>
      <c r="D17" s="27">
        <v>0.51944444444444449</v>
      </c>
      <c r="E17" s="47"/>
      <c r="F17" s="27">
        <v>0.51944444444444449</v>
      </c>
      <c r="G17" s="47"/>
      <c r="H17" s="27">
        <v>0.51944444444444449</v>
      </c>
      <c r="I17" s="47"/>
      <c r="J17" s="27">
        <v>0.51944444444444449</v>
      </c>
      <c r="K17" s="47"/>
      <c r="L17" s="27">
        <v>0.51944444444444449</v>
      </c>
      <c r="M17" s="47"/>
      <c r="N17" s="27">
        <v>0.51944444444444449</v>
      </c>
      <c r="O17" s="47"/>
      <c r="P17" s="27">
        <v>0.51944444444444449</v>
      </c>
      <c r="Q17" s="47"/>
      <c r="R17" s="27">
        <v>0.51944444444444449</v>
      </c>
      <c r="S17" s="47"/>
      <c r="T17" s="27">
        <v>0.13750000000000001</v>
      </c>
      <c r="U17" s="47"/>
      <c r="V17" s="27">
        <v>0.13750000000000001</v>
      </c>
      <c r="W17" s="47"/>
      <c r="X17" s="27">
        <v>0.13750000000000001</v>
      </c>
      <c r="Y17" s="47"/>
      <c r="Z17" s="27">
        <v>0.13750000000000001</v>
      </c>
      <c r="AA17" s="47"/>
      <c r="AB17" s="27">
        <v>0.13750000000000001</v>
      </c>
      <c r="AC17" s="47"/>
      <c r="AD17" s="27">
        <v>0.13750000000000001</v>
      </c>
      <c r="AE17" s="47"/>
      <c r="AF17" s="27">
        <v>0.13750000000000001</v>
      </c>
      <c r="AG17" s="47"/>
      <c r="AH17" s="121"/>
      <c r="AI17" s="84"/>
    </row>
    <row r="18" spans="1:35" ht="15.75" x14ac:dyDescent="0.25">
      <c r="A18" s="30" t="s">
        <v>9</v>
      </c>
      <c r="B18" s="42" t="s">
        <v>18</v>
      </c>
      <c r="C18" s="26"/>
      <c r="D18" s="26">
        <v>29</v>
      </c>
      <c r="E18" s="46"/>
      <c r="F18" s="26">
        <v>29</v>
      </c>
      <c r="G18" s="46"/>
      <c r="H18" s="26">
        <v>29</v>
      </c>
      <c r="I18" s="54"/>
      <c r="J18" s="26">
        <v>29</v>
      </c>
      <c r="K18" s="46"/>
      <c r="L18" s="26">
        <v>29</v>
      </c>
      <c r="M18" s="46"/>
      <c r="N18" s="26">
        <v>29</v>
      </c>
      <c r="O18" s="46"/>
      <c r="P18" s="26">
        <v>29</v>
      </c>
      <c r="Q18" s="48"/>
      <c r="R18" s="26">
        <v>29</v>
      </c>
      <c r="S18" s="81"/>
      <c r="T18" s="26">
        <v>29</v>
      </c>
      <c r="U18" s="81"/>
      <c r="V18" s="26">
        <v>29</v>
      </c>
      <c r="W18" s="81"/>
      <c r="X18" s="26">
        <v>29</v>
      </c>
      <c r="Y18" s="81"/>
      <c r="Z18" s="26">
        <v>29</v>
      </c>
      <c r="AA18" s="81"/>
      <c r="AB18" s="26">
        <v>29</v>
      </c>
      <c r="AC18" s="81"/>
      <c r="AD18" s="26">
        <v>29</v>
      </c>
      <c r="AE18" s="81"/>
      <c r="AF18" s="26">
        <v>29</v>
      </c>
      <c r="AG18" s="81"/>
      <c r="AH18" s="121"/>
      <c r="AI18" s="84"/>
    </row>
    <row r="19" spans="1:35" ht="15.75" x14ac:dyDescent="0.25">
      <c r="A19" s="29" t="s">
        <v>10</v>
      </c>
      <c r="B19" s="42" t="s">
        <v>18</v>
      </c>
      <c r="C19" s="27"/>
      <c r="D19" s="27">
        <v>0.72083333333333333</v>
      </c>
      <c r="E19" s="47"/>
      <c r="F19" s="27">
        <v>0.72083333333333333</v>
      </c>
      <c r="G19" s="47"/>
      <c r="H19" s="27">
        <v>0.72083333333333333</v>
      </c>
      <c r="I19" s="52"/>
      <c r="J19" s="27">
        <v>0.72083333333333333</v>
      </c>
      <c r="K19" s="47"/>
      <c r="L19" s="27">
        <v>0.72083333333333333</v>
      </c>
      <c r="M19" s="47"/>
      <c r="N19" s="27">
        <v>0.72083333333333333</v>
      </c>
      <c r="O19" s="47"/>
      <c r="P19" s="27">
        <v>0.72083333333333333</v>
      </c>
      <c r="Q19" s="47"/>
      <c r="R19" s="27">
        <v>0.82638888888888884</v>
      </c>
      <c r="S19" s="27"/>
      <c r="T19" s="27">
        <v>0.82638888888888884</v>
      </c>
      <c r="U19" s="27"/>
      <c r="V19" s="27">
        <v>0.82638888888888884</v>
      </c>
      <c r="W19" s="27"/>
      <c r="X19" s="27">
        <v>0.82638888888888884</v>
      </c>
      <c r="Y19" s="27"/>
      <c r="Z19" s="27">
        <v>0.82638888888888884</v>
      </c>
      <c r="AA19" s="27"/>
      <c r="AB19" s="27">
        <v>0.82638888888888884</v>
      </c>
      <c r="AC19" s="27"/>
      <c r="AD19" s="27">
        <v>0.82638888888888884</v>
      </c>
      <c r="AE19" s="27"/>
      <c r="AF19" s="27">
        <v>0.82638888888888884</v>
      </c>
      <c r="AG19" s="27"/>
      <c r="AH19" s="121"/>
      <c r="AI19" s="84"/>
    </row>
    <row r="20" spans="1:35" ht="16.5" thickBot="1" x14ac:dyDescent="0.3">
      <c r="A20" s="33" t="s">
        <v>11</v>
      </c>
      <c r="B20" s="59" t="s">
        <v>18</v>
      </c>
      <c r="C20" s="44"/>
      <c r="D20" s="24">
        <f>D19-D17</f>
        <v>0.20138888888888884</v>
      </c>
      <c r="E20" s="56"/>
      <c r="F20" s="24">
        <f>F19-F17</f>
        <v>0.20138888888888884</v>
      </c>
      <c r="G20" s="56"/>
      <c r="H20" s="24">
        <f>H19-H17</f>
        <v>0.20138888888888884</v>
      </c>
      <c r="I20" s="55"/>
      <c r="J20" s="24">
        <f>J19-J17</f>
        <v>0.20138888888888884</v>
      </c>
      <c r="K20" s="56"/>
      <c r="L20" s="24">
        <f>L19-L17</f>
        <v>0.20138888888888884</v>
      </c>
      <c r="M20" s="56"/>
      <c r="N20" s="55">
        <f>N19-N17</f>
        <v>0.20138888888888884</v>
      </c>
      <c r="O20" s="56"/>
      <c r="P20" s="56">
        <f>P19-P17</f>
        <v>0.20138888888888884</v>
      </c>
      <c r="Q20" s="56"/>
      <c r="R20" s="56">
        <f t="shared" ref="R20:AF20" si="15">R19-R17</f>
        <v>0.30694444444444435</v>
      </c>
      <c r="S20" s="56"/>
      <c r="T20" s="56">
        <f t="shared" si="15"/>
        <v>0.68888888888888888</v>
      </c>
      <c r="U20" s="56"/>
      <c r="V20" s="56">
        <f t="shared" si="15"/>
        <v>0.68888888888888888</v>
      </c>
      <c r="W20" s="56"/>
      <c r="X20" s="56">
        <f t="shared" si="15"/>
        <v>0.68888888888888888</v>
      </c>
      <c r="Y20" s="56"/>
      <c r="Z20" s="56">
        <f t="shared" si="15"/>
        <v>0.68888888888888888</v>
      </c>
      <c r="AA20" s="56"/>
      <c r="AB20" s="56">
        <f t="shared" si="15"/>
        <v>0.68888888888888888</v>
      </c>
      <c r="AC20" s="56"/>
      <c r="AD20" s="56">
        <f t="shared" si="15"/>
        <v>0.68888888888888888</v>
      </c>
      <c r="AE20" s="56"/>
      <c r="AF20" s="56">
        <f t="shared" si="15"/>
        <v>0.68888888888888888</v>
      </c>
      <c r="AG20" s="56"/>
      <c r="AH20" s="121"/>
      <c r="AI20" s="84"/>
    </row>
    <row r="21" spans="1:35" ht="15.75" x14ac:dyDescent="0.25">
      <c r="A21" s="32" t="s">
        <v>8</v>
      </c>
      <c r="B21" s="42" t="s">
        <v>18</v>
      </c>
      <c r="C21" s="85">
        <v>42</v>
      </c>
      <c r="D21" s="97"/>
      <c r="E21" s="51">
        <v>42</v>
      </c>
      <c r="F21" s="101"/>
      <c r="G21" s="51">
        <v>42</v>
      </c>
      <c r="H21" s="101"/>
      <c r="I21" s="51">
        <v>42</v>
      </c>
      <c r="J21" s="101"/>
      <c r="K21" s="51">
        <v>42</v>
      </c>
      <c r="L21" s="101"/>
      <c r="M21" s="51">
        <v>42</v>
      </c>
      <c r="N21" s="97"/>
      <c r="O21" s="51">
        <v>42</v>
      </c>
      <c r="P21" s="97"/>
      <c r="Q21" s="51">
        <v>42</v>
      </c>
      <c r="R21" s="97"/>
      <c r="S21" s="51">
        <v>42</v>
      </c>
      <c r="T21" s="101"/>
      <c r="U21" s="51">
        <v>42</v>
      </c>
      <c r="V21" s="101"/>
      <c r="W21" s="51">
        <v>42</v>
      </c>
      <c r="X21" s="101"/>
      <c r="Y21" s="51">
        <v>42</v>
      </c>
      <c r="Z21" s="101"/>
      <c r="AA21" s="51">
        <v>42</v>
      </c>
      <c r="AB21" s="97"/>
      <c r="AC21" s="51">
        <v>42</v>
      </c>
      <c r="AD21" s="97"/>
      <c r="AE21" s="51">
        <v>42</v>
      </c>
      <c r="AF21" s="80"/>
      <c r="AG21" s="51">
        <v>42</v>
      </c>
      <c r="AH21" s="121"/>
    </row>
    <row r="22" spans="1:35" ht="15.75" x14ac:dyDescent="0.25">
      <c r="A22" s="29" t="s">
        <v>13</v>
      </c>
      <c r="B22" s="42" t="s">
        <v>18</v>
      </c>
      <c r="C22" s="86">
        <v>0.70416666666666672</v>
      </c>
      <c r="D22" s="98"/>
      <c r="E22" s="52">
        <v>0.70416666666666672</v>
      </c>
      <c r="F22" s="102"/>
      <c r="G22" s="52">
        <v>0.70416666666666672</v>
      </c>
      <c r="H22" s="102"/>
      <c r="I22" s="52">
        <v>0.70416666666666672</v>
      </c>
      <c r="J22" s="102"/>
      <c r="K22" s="52">
        <v>0.70416666666666672</v>
      </c>
      <c r="L22" s="102"/>
      <c r="M22" s="52">
        <v>0.70416666666666672</v>
      </c>
      <c r="N22" s="98"/>
      <c r="O22" s="52">
        <v>0.70416666666666672</v>
      </c>
      <c r="P22" s="98"/>
      <c r="Q22" s="52">
        <v>0.62569444444444444</v>
      </c>
      <c r="R22" s="98"/>
      <c r="S22" s="52">
        <v>0.56597222222222221</v>
      </c>
      <c r="T22" s="102"/>
      <c r="U22" s="52">
        <v>0.62569444444444444</v>
      </c>
      <c r="V22" s="102"/>
      <c r="W22" s="52">
        <v>0.62569444444444444</v>
      </c>
      <c r="X22" s="102"/>
      <c r="Y22" s="52">
        <v>0.62569444444444444</v>
      </c>
      <c r="Z22" s="102"/>
      <c r="AA22" s="52">
        <v>0.62569444444444444</v>
      </c>
      <c r="AB22" s="98"/>
      <c r="AC22" s="52">
        <v>0.62569444444444444</v>
      </c>
      <c r="AD22" s="98"/>
      <c r="AE22" s="52">
        <v>0.62569444444444444</v>
      </c>
      <c r="AF22" s="49"/>
      <c r="AG22" s="52">
        <v>0.62569444444444444</v>
      </c>
      <c r="AH22" s="121"/>
    </row>
    <row r="23" spans="1:35" ht="15.75" x14ac:dyDescent="0.25">
      <c r="A23" s="30" t="s">
        <v>9</v>
      </c>
      <c r="B23" s="42" t="s">
        <v>18</v>
      </c>
      <c r="C23" s="87">
        <v>41</v>
      </c>
      <c r="D23" s="99"/>
      <c r="E23" s="53">
        <v>41</v>
      </c>
      <c r="F23" s="99"/>
      <c r="G23" s="53">
        <v>41</v>
      </c>
      <c r="H23" s="103"/>
      <c r="I23" s="53">
        <v>41</v>
      </c>
      <c r="J23" s="104"/>
      <c r="K23" s="53">
        <v>41</v>
      </c>
      <c r="L23" s="99"/>
      <c r="M23" s="53">
        <v>41</v>
      </c>
      <c r="N23" s="99"/>
      <c r="O23" s="53">
        <v>41</v>
      </c>
      <c r="P23" s="99"/>
      <c r="Q23" s="53">
        <v>41</v>
      </c>
      <c r="R23" s="99"/>
      <c r="S23" s="53">
        <v>41</v>
      </c>
      <c r="T23" s="99"/>
      <c r="U23" s="53">
        <v>41</v>
      </c>
      <c r="V23" s="103"/>
      <c r="W23" s="53">
        <v>41</v>
      </c>
      <c r="X23" s="104"/>
      <c r="Y23" s="53">
        <v>41</v>
      </c>
      <c r="Z23" s="99"/>
      <c r="AA23" s="53">
        <v>41</v>
      </c>
      <c r="AB23" s="99"/>
      <c r="AC23" s="53">
        <v>41</v>
      </c>
      <c r="AD23" s="99"/>
      <c r="AE23" s="53">
        <v>41</v>
      </c>
      <c r="AF23" s="48"/>
      <c r="AG23" s="53">
        <v>41</v>
      </c>
      <c r="AH23" s="121"/>
    </row>
    <row r="24" spans="1:35" ht="15.75" x14ac:dyDescent="0.25">
      <c r="A24" s="29" t="s">
        <v>10</v>
      </c>
      <c r="B24" s="42" t="s">
        <v>18</v>
      </c>
      <c r="C24" s="86">
        <v>0.90277777777777779</v>
      </c>
      <c r="D24" s="98"/>
      <c r="E24" s="52">
        <v>0.90277777777777779</v>
      </c>
      <c r="F24" s="98"/>
      <c r="G24" s="52">
        <v>0.90277777777777779</v>
      </c>
      <c r="H24" s="102"/>
      <c r="I24" s="52">
        <v>0.90277777777777779</v>
      </c>
      <c r="J24" s="102"/>
      <c r="K24" s="52">
        <v>0.90277777777777779</v>
      </c>
      <c r="L24" s="98"/>
      <c r="M24" s="52">
        <v>0.90277777777777779</v>
      </c>
      <c r="N24" s="98"/>
      <c r="O24" s="52">
        <v>0.90277777777777779</v>
      </c>
      <c r="P24" s="98"/>
      <c r="Q24" s="52">
        <v>0.77083333333333337</v>
      </c>
      <c r="R24" s="98"/>
      <c r="S24" s="52">
        <v>0.77083333333333337</v>
      </c>
      <c r="T24" s="98"/>
      <c r="U24" s="52">
        <v>0.75694444444444453</v>
      </c>
      <c r="V24" s="102"/>
      <c r="W24" s="52">
        <v>0.75694444444444453</v>
      </c>
      <c r="X24" s="102"/>
      <c r="Y24" s="52">
        <v>0.75694444444444453</v>
      </c>
      <c r="Z24" s="98"/>
      <c r="AA24" s="52">
        <v>0.75694444444444453</v>
      </c>
      <c r="AB24" s="98"/>
      <c r="AC24" s="52">
        <v>0.75694444444444453</v>
      </c>
      <c r="AD24" s="98"/>
      <c r="AE24" s="52">
        <v>0.75694444444444453</v>
      </c>
      <c r="AF24" s="49"/>
      <c r="AG24" s="52">
        <v>0.75694444444444453</v>
      </c>
      <c r="AH24" s="121"/>
    </row>
    <row r="25" spans="1:35" ht="16.5" thickBot="1" x14ac:dyDescent="0.3">
      <c r="A25" s="33" t="s">
        <v>11</v>
      </c>
      <c r="B25" s="59" t="s">
        <v>18</v>
      </c>
      <c r="C25" s="92">
        <f>SUM(C24-C22)</f>
        <v>0.19861111111111107</v>
      </c>
      <c r="D25" s="100"/>
      <c r="E25" s="55">
        <f>SUM(E24-E22)</f>
        <v>0.19861111111111107</v>
      </c>
      <c r="F25" s="100"/>
      <c r="G25" s="55">
        <f>SUM(G24-G22)</f>
        <v>0.19861111111111107</v>
      </c>
      <c r="H25" s="100"/>
      <c r="I25" s="55">
        <f>SUM(I24-I22)</f>
        <v>0.19861111111111107</v>
      </c>
      <c r="J25" s="100"/>
      <c r="K25" s="55">
        <f>SUM(K24-K22)</f>
        <v>0.19861111111111107</v>
      </c>
      <c r="L25" s="100"/>
      <c r="M25" s="55">
        <f>SUM(M24-M22)</f>
        <v>0.19861111111111107</v>
      </c>
      <c r="N25" s="100"/>
      <c r="O25" s="55">
        <f>SUM(O24-O22)</f>
        <v>0.19861111111111107</v>
      </c>
      <c r="P25" s="100"/>
      <c r="Q25" s="55">
        <f>SUM(Q24-Q22)</f>
        <v>0.14513888888888893</v>
      </c>
      <c r="R25" s="100"/>
      <c r="S25" s="55">
        <f>SUM(S24-S22)</f>
        <v>0.20486111111111116</v>
      </c>
      <c r="T25" s="100"/>
      <c r="U25" s="55">
        <f>SUM(U24-U22)</f>
        <v>0.13125000000000009</v>
      </c>
      <c r="V25" s="100"/>
      <c r="W25" s="55">
        <f>SUM(W24-W22)</f>
        <v>0.13125000000000009</v>
      </c>
      <c r="X25" s="100"/>
      <c r="Y25" s="55">
        <f>SUM(Y24-Y22)</f>
        <v>0.13125000000000009</v>
      </c>
      <c r="Z25" s="100"/>
      <c r="AA25" s="55">
        <f>SUM(AA24-AA22)</f>
        <v>0.13125000000000009</v>
      </c>
      <c r="AB25" s="100"/>
      <c r="AC25" s="55">
        <f>SUM(AC24-AC22)</f>
        <v>0.13125000000000009</v>
      </c>
      <c r="AD25" s="100"/>
      <c r="AE25" s="55">
        <f>SUM(AE24-AE22)</f>
        <v>0.13125000000000009</v>
      </c>
      <c r="AF25" s="100"/>
      <c r="AG25" s="55">
        <f>SUM(AG24-AG22)</f>
        <v>0.13125000000000009</v>
      </c>
      <c r="AH25" s="121"/>
    </row>
    <row r="26" spans="1:35" ht="15.75" x14ac:dyDescent="0.25">
      <c r="A26" s="28" t="s">
        <v>8</v>
      </c>
      <c r="B26" s="42" t="s">
        <v>16</v>
      </c>
      <c r="C26" s="36"/>
      <c r="D26" s="36">
        <v>626</v>
      </c>
      <c r="E26" s="45"/>
      <c r="F26" s="36">
        <v>626</v>
      </c>
      <c r="G26" s="45"/>
      <c r="H26" s="36">
        <v>626</v>
      </c>
      <c r="I26" s="45"/>
      <c r="J26" s="36">
        <v>626</v>
      </c>
      <c r="K26" s="45"/>
      <c r="L26" s="36">
        <v>626</v>
      </c>
      <c r="M26" s="45"/>
      <c r="N26" s="36">
        <v>626</v>
      </c>
      <c r="O26" s="45"/>
      <c r="P26" s="36">
        <v>626</v>
      </c>
      <c r="Q26" s="45"/>
      <c r="R26" s="36">
        <v>626</v>
      </c>
      <c r="S26" s="45"/>
      <c r="T26" s="36">
        <v>626</v>
      </c>
      <c r="U26" s="45"/>
      <c r="V26" s="36">
        <v>626</v>
      </c>
      <c r="W26" s="45"/>
      <c r="X26" s="36">
        <v>626</v>
      </c>
      <c r="Y26" s="45"/>
      <c r="Z26" s="36">
        <v>626</v>
      </c>
      <c r="AA26" s="45"/>
      <c r="AB26" s="36">
        <v>626</v>
      </c>
      <c r="AC26" s="45"/>
      <c r="AD26" s="36">
        <v>626</v>
      </c>
      <c r="AE26" s="45"/>
      <c r="AF26" s="36">
        <v>626</v>
      </c>
      <c r="AG26" s="45"/>
      <c r="AH26" s="121"/>
    </row>
    <row r="27" spans="1:35" ht="15.75" x14ac:dyDescent="0.25">
      <c r="A27" s="29" t="s">
        <v>13</v>
      </c>
      <c r="B27" s="42" t="s">
        <v>16</v>
      </c>
      <c r="C27" s="27"/>
      <c r="D27" s="27">
        <v>0.2722222222222222</v>
      </c>
      <c r="E27" s="47"/>
      <c r="F27" s="27">
        <v>0.2722222222222222</v>
      </c>
      <c r="G27" s="47"/>
      <c r="H27" s="27">
        <v>0.2722222222222222</v>
      </c>
      <c r="I27" s="47"/>
      <c r="J27" s="27">
        <v>0.2722222222222222</v>
      </c>
      <c r="K27" s="47"/>
      <c r="L27" s="27">
        <v>0.2722222222222222</v>
      </c>
      <c r="M27" s="47"/>
      <c r="N27" s="27">
        <v>0.2722222222222222</v>
      </c>
      <c r="O27" s="47"/>
      <c r="P27" s="27">
        <v>0.2722222222222222</v>
      </c>
      <c r="Q27" s="47"/>
      <c r="R27" s="27">
        <v>0.26805555555555555</v>
      </c>
      <c r="S27" s="47"/>
      <c r="T27" s="27">
        <v>0.26805555555555555</v>
      </c>
      <c r="U27" s="47"/>
      <c r="V27" s="27">
        <v>0.26805555555555555</v>
      </c>
      <c r="W27" s="47"/>
      <c r="X27" s="27">
        <v>0.26805555555555555</v>
      </c>
      <c r="Y27" s="47"/>
      <c r="Z27" s="27">
        <v>0.26805555555555555</v>
      </c>
      <c r="AA27" s="47"/>
      <c r="AB27" s="27">
        <v>0.26805555555555555</v>
      </c>
      <c r="AC27" s="47"/>
      <c r="AD27" s="27">
        <v>0.26805555555555555</v>
      </c>
      <c r="AE27" s="47"/>
      <c r="AF27" s="27">
        <v>0.26805555555555555</v>
      </c>
      <c r="AG27" s="47"/>
      <c r="AH27" s="121"/>
    </row>
    <row r="28" spans="1:35" ht="15.75" x14ac:dyDescent="0.25">
      <c r="A28" s="30" t="s">
        <v>9</v>
      </c>
      <c r="B28" s="42" t="s">
        <v>16</v>
      </c>
      <c r="C28" s="26"/>
      <c r="D28" s="13">
        <v>625</v>
      </c>
      <c r="E28" s="54"/>
      <c r="F28" s="13">
        <v>625</v>
      </c>
      <c r="G28" s="46"/>
      <c r="H28" s="13">
        <v>625</v>
      </c>
      <c r="I28" s="48"/>
      <c r="J28" s="13">
        <v>625</v>
      </c>
      <c r="K28" s="46"/>
      <c r="L28" s="13">
        <v>625</v>
      </c>
      <c r="M28" s="46"/>
      <c r="N28" s="13">
        <v>625</v>
      </c>
      <c r="O28" s="70"/>
      <c r="P28" s="13">
        <v>625</v>
      </c>
      <c r="Q28" s="46"/>
      <c r="R28" s="13">
        <v>625</v>
      </c>
      <c r="S28" s="54"/>
      <c r="T28" s="13">
        <v>625</v>
      </c>
      <c r="U28" s="46"/>
      <c r="V28" s="13">
        <v>625</v>
      </c>
      <c r="W28" s="48"/>
      <c r="X28" s="13">
        <v>625</v>
      </c>
      <c r="Y28" s="46"/>
      <c r="Z28" s="13">
        <v>625</v>
      </c>
      <c r="AA28" s="46"/>
      <c r="AB28" s="13">
        <v>625</v>
      </c>
      <c r="AC28" s="70"/>
      <c r="AD28" s="13">
        <v>625</v>
      </c>
      <c r="AE28" s="46"/>
      <c r="AF28" s="13">
        <v>625</v>
      </c>
      <c r="AG28" s="54"/>
      <c r="AH28" s="121"/>
    </row>
    <row r="29" spans="1:35" ht="15.75" x14ac:dyDescent="0.25">
      <c r="A29" s="29" t="s">
        <v>10</v>
      </c>
      <c r="B29" s="42" t="s">
        <v>16</v>
      </c>
      <c r="C29" s="27"/>
      <c r="D29" s="8">
        <v>0.95</v>
      </c>
      <c r="E29" s="52"/>
      <c r="F29" s="8">
        <v>0.95</v>
      </c>
      <c r="G29" s="47"/>
      <c r="H29" s="8">
        <v>0.95</v>
      </c>
      <c r="I29" s="49"/>
      <c r="J29" s="8">
        <v>0.95</v>
      </c>
      <c r="K29" s="47"/>
      <c r="L29" s="8">
        <v>0.95</v>
      </c>
      <c r="M29" s="47"/>
      <c r="N29" s="8">
        <v>0.95</v>
      </c>
      <c r="O29" s="66"/>
      <c r="P29" s="8">
        <v>0.95</v>
      </c>
      <c r="Q29" s="47"/>
      <c r="R29" s="8">
        <v>0.96527777777777779</v>
      </c>
      <c r="S29" s="52"/>
      <c r="T29" s="8">
        <v>0.96527777777777779</v>
      </c>
      <c r="U29" s="47"/>
      <c r="V29" s="8">
        <v>0.96527777777777779</v>
      </c>
      <c r="W29" s="49"/>
      <c r="X29" s="8">
        <v>0.96527777777777779</v>
      </c>
      <c r="Y29" s="47"/>
      <c r="Z29" s="8">
        <v>0.96527777777777779</v>
      </c>
      <c r="AA29" s="47"/>
      <c r="AB29" s="8">
        <v>0.96527777777777779</v>
      </c>
      <c r="AC29" s="66"/>
      <c r="AD29" s="8">
        <v>0.96527777777777779</v>
      </c>
      <c r="AE29" s="47"/>
      <c r="AF29" s="8">
        <v>0.96527777777777779</v>
      </c>
      <c r="AG29" s="52"/>
      <c r="AH29" s="121"/>
    </row>
    <row r="30" spans="1:35" ht="16.5" thickBot="1" x14ac:dyDescent="0.3">
      <c r="A30" s="31" t="s">
        <v>11</v>
      </c>
      <c r="B30" s="59" t="s">
        <v>16</v>
      </c>
      <c r="C30" s="37"/>
      <c r="D30" s="24">
        <f>SUM(D29-D27)</f>
        <v>0.67777777777777781</v>
      </c>
      <c r="E30" s="65"/>
      <c r="F30" s="24">
        <f>SUM(F29-F27)</f>
        <v>0.67777777777777781</v>
      </c>
      <c r="G30" s="57"/>
      <c r="H30" s="24">
        <f>SUM(H29-H27)</f>
        <v>0.67777777777777781</v>
      </c>
      <c r="I30" s="57"/>
      <c r="J30" s="24">
        <f>SUM(J29-J27)</f>
        <v>0.67777777777777781</v>
      </c>
      <c r="K30" s="57"/>
      <c r="L30" s="24">
        <f>SUM(L29-L27)</f>
        <v>0.67777777777777781</v>
      </c>
      <c r="M30" s="57"/>
      <c r="N30" s="55">
        <f>SUM(N29-N27)</f>
        <v>0.67777777777777781</v>
      </c>
      <c r="O30" s="57"/>
      <c r="P30" s="55">
        <f>SUM(P29-P27)</f>
        <v>0.67777777777777781</v>
      </c>
      <c r="Q30" s="57"/>
      <c r="R30" s="24">
        <f>SUM(R29-R27)</f>
        <v>0.69722222222222219</v>
      </c>
      <c r="S30" s="65"/>
      <c r="T30" s="24">
        <f>SUM(T29-T27)</f>
        <v>0.69722222222222219</v>
      </c>
      <c r="U30" s="57"/>
      <c r="V30" s="24">
        <f>SUM(V29-V27)</f>
        <v>0.69722222222222219</v>
      </c>
      <c r="W30" s="57"/>
      <c r="X30" s="24">
        <f>SUM(X29-X27)</f>
        <v>0.69722222222222219</v>
      </c>
      <c r="Y30" s="57"/>
      <c r="Z30" s="24">
        <f>SUM(Z29-Z27)</f>
        <v>0.69722222222222219</v>
      </c>
      <c r="AA30" s="57"/>
      <c r="AB30" s="24">
        <f>SUM(AB29-AB27)</f>
        <v>0.69722222222222219</v>
      </c>
      <c r="AC30" s="57"/>
      <c r="AD30" s="24">
        <f>SUM(AD29-AD27)</f>
        <v>0.69722222222222219</v>
      </c>
      <c r="AE30" s="57"/>
      <c r="AF30" s="24">
        <f>SUM(AF29-AF27)</f>
        <v>0.69722222222222219</v>
      </c>
      <c r="AG30" s="65"/>
      <c r="AH30" s="121"/>
    </row>
    <row r="31" spans="1:35" ht="15.75" x14ac:dyDescent="0.25">
      <c r="A31" s="28" t="s">
        <v>8</v>
      </c>
      <c r="B31" s="42" t="s">
        <v>33</v>
      </c>
      <c r="C31" s="36">
        <v>48</v>
      </c>
      <c r="D31" s="60"/>
      <c r="E31" s="36">
        <v>48</v>
      </c>
      <c r="F31" s="68"/>
      <c r="G31" s="36">
        <v>48</v>
      </c>
      <c r="H31" s="67"/>
      <c r="I31" s="36">
        <v>48</v>
      </c>
      <c r="J31" s="53"/>
      <c r="K31" s="36">
        <v>48</v>
      </c>
      <c r="L31" s="67"/>
      <c r="M31" s="36">
        <v>48</v>
      </c>
      <c r="N31" s="69"/>
      <c r="O31" s="36">
        <v>48</v>
      </c>
      <c r="P31" s="67"/>
      <c r="Q31" s="36">
        <v>48</v>
      </c>
      <c r="R31" s="69"/>
      <c r="S31" s="36">
        <v>48</v>
      </c>
      <c r="T31" s="68"/>
      <c r="U31" s="36">
        <v>48</v>
      </c>
      <c r="V31" s="67"/>
      <c r="W31" s="36">
        <v>48</v>
      </c>
      <c r="X31" s="67"/>
      <c r="Y31" s="36">
        <v>48</v>
      </c>
      <c r="Z31" s="67"/>
      <c r="AA31" s="36">
        <v>48</v>
      </c>
      <c r="AB31" s="69"/>
      <c r="AC31" s="36">
        <v>48</v>
      </c>
      <c r="AD31" s="67"/>
      <c r="AE31" s="36">
        <v>48</v>
      </c>
      <c r="AF31" s="69"/>
      <c r="AG31" s="36">
        <v>48</v>
      </c>
      <c r="AH31" s="121"/>
    </row>
    <row r="32" spans="1:35" ht="15.75" x14ac:dyDescent="0.25">
      <c r="A32" s="29" t="s">
        <v>13</v>
      </c>
      <c r="B32" s="42" t="s">
        <v>33</v>
      </c>
      <c r="C32" s="27">
        <v>0.43125000000000002</v>
      </c>
      <c r="D32" s="17"/>
      <c r="E32" s="27">
        <v>0.43125000000000002</v>
      </c>
      <c r="F32" s="58"/>
      <c r="G32" s="27">
        <v>0.43125000000000002</v>
      </c>
      <c r="H32" s="52"/>
      <c r="I32" s="27">
        <v>0.43125000000000002</v>
      </c>
      <c r="J32" s="52"/>
      <c r="K32" s="27">
        <v>0.43125000000000002</v>
      </c>
      <c r="L32" s="52"/>
      <c r="M32" s="27">
        <v>0.43125000000000002</v>
      </c>
      <c r="N32" s="70"/>
      <c r="O32" s="27">
        <v>0.43125000000000002</v>
      </c>
      <c r="P32" s="52"/>
      <c r="Q32" s="27">
        <v>0.43125000000000002</v>
      </c>
      <c r="R32" s="70"/>
      <c r="S32" s="8">
        <v>0.3840277777777778</v>
      </c>
      <c r="T32" s="58"/>
      <c r="U32" s="8">
        <v>0.3840277777777778</v>
      </c>
      <c r="V32" s="52"/>
      <c r="W32" s="8">
        <v>0.3840277777777778</v>
      </c>
      <c r="X32" s="52"/>
      <c r="Y32" s="8">
        <v>0.3840277777777778</v>
      </c>
      <c r="Z32" s="52"/>
      <c r="AA32" s="8">
        <v>0.3840277777777778</v>
      </c>
      <c r="AB32" s="70"/>
      <c r="AC32" s="8">
        <v>0.3840277777777778</v>
      </c>
      <c r="AD32" s="52"/>
      <c r="AE32" s="8">
        <v>0.3840277777777778</v>
      </c>
      <c r="AF32" s="70"/>
      <c r="AG32" s="8">
        <v>0.3840277777777778</v>
      </c>
      <c r="AH32" s="121"/>
    </row>
    <row r="33" spans="1:34" ht="15.75" x14ac:dyDescent="0.25">
      <c r="A33" s="30" t="s">
        <v>9</v>
      </c>
      <c r="B33" s="42" t="s">
        <v>33</v>
      </c>
      <c r="C33" s="26">
        <v>47</v>
      </c>
      <c r="D33" s="13"/>
      <c r="E33" s="26">
        <v>47</v>
      </c>
      <c r="F33" s="13"/>
      <c r="G33" s="26">
        <v>47</v>
      </c>
      <c r="H33" s="13"/>
      <c r="I33" s="26">
        <v>47</v>
      </c>
      <c r="J33" s="13"/>
      <c r="K33" s="26">
        <v>47</v>
      </c>
      <c r="L33" s="17"/>
      <c r="M33" s="26">
        <v>47</v>
      </c>
      <c r="N33" s="53"/>
      <c r="O33" s="26">
        <v>47</v>
      </c>
      <c r="P33" s="53"/>
      <c r="Q33" s="26">
        <v>47</v>
      </c>
      <c r="R33" s="13"/>
      <c r="S33" s="26">
        <v>47</v>
      </c>
      <c r="T33" s="13"/>
      <c r="U33" s="26">
        <v>47</v>
      </c>
      <c r="V33" s="13"/>
      <c r="W33" s="26">
        <v>47</v>
      </c>
      <c r="X33" s="13"/>
      <c r="Y33" s="26">
        <v>47</v>
      </c>
      <c r="Z33" s="17"/>
      <c r="AA33" s="26">
        <v>47</v>
      </c>
      <c r="AB33" s="13"/>
      <c r="AC33" s="26">
        <v>47</v>
      </c>
      <c r="AD33" s="13"/>
      <c r="AE33" s="26">
        <v>47</v>
      </c>
      <c r="AF33" s="13"/>
      <c r="AG33" s="26">
        <v>47</v>
      </c>
      <c r="AH33" s="121"/>
    </row>
    <row r="34" spans="1:34" ht="15.75" x14ac:dyDescent="0.25">
      <c r="A34" s="29" t="s">
        <v>10</v>
      </c>
      <c r="B34" s="42" t="s">
        <v>33</v>
      </c>
      <c r="C34" s="27">
        <v>0.93055555555555558</v>
      </c>
      <c r="D34" s="8"/>
      <c r="E34" s="27">
        <v>0.93055555555555558</v>
      </c>
      <c r="F34" s="8"/>
      <c r="G34" s="27">
        <v>0.93055555555555558</v>
      </c>
      <c r="H34" s="8"/>
      <c r="I34" s="27">
        <v>0.93055555555555558</v>
      </c>
      <c r="J34" s="8"/>
      <c r="K34" s="27">
        <v>0.93055555555555558</v>
      </c>
      <c r="L34" s="17"/>
      <c r="M34" s="27">
        <v>0.93055555555555558</v>
      </c>
      <c r="N34" s="52"/>
      <c r="O34" s="27">
        <v>0.93055555555555558</v>
      </c>
      <c r="P34" s="52"/>
      <c r="Q34" s="27">
        <v>0.77083333333333337</v>
      </c>
      <c r="R34" s="8"/>
      <c r="S34" s="27">
        <v>0.77083333333333337</v>
      </c>
      <c r="T34" s="8"/>
      <c r="U34" s="27">
        <v>0.77083333333333337</v>
      </c>
      <c r="V34" s="8"/>
      <c r="W34" s="27">
        <v>0.77083333333333337</v>
      </c>
      <c r="X34" s="8"/>
      <c r="Y34" s="27">
        <v>0.77083333333333337</v>
      </c>
      <c r="Z34" s="17"/>
      <c r="AA34" s="27">
        <v>0.77083333333333337</v>
      </c>
      <c r="AB34" s="8"/>
      <c r="AC34" s="27">
        <v>0.77083333333333337</v>
      </c>
      <c r="AD34" s="8"/>
      <c r="AE34" s="27">
        <v>0.77083333333333337</v>
      </c>
      <c r="AF34" s="8"/>
      <c r="AG34" s="27">
        <v>0.77083333333333337</v>
      </c>
      <c r="AH34" s="121"/>
    </row>
    <row r="35" spans="1:34" ht="16.5" thickBot="1" x14ac:dyDescent="0.3">
      <c r="A35" s="31" t="s">
        <v>11</v>
      </c>
      <c r="B35" s="59" t="s">
        <v>33</v>
      </c>
      <c r="C35" s="35">
        <f>SUM(C34-C32)</f>
        <v>0.49930555555555556</v>
      </c>
      <c r="D35" s="24"/>
      <c r="E35" s="35">
        <f>SUM(E34-E32)</f>
        <v>0.49930555555555556</v>
      </c>
      <c r="F35" s="24"/>
      <c r="G35" s="35">
        <f>SUM(G34-G32)</f>
        <v>0.49930555555555556</v>
      </c>
      <c r="H35" s="24"/>
      <c r="I35" s="35">
        <f>SUM(I34-I32)</f>
        <v>0.49930555555555556</v>
      </c>
      <c r="J35" s="24"/>
      <c r="K35" s="35">
        <f>SUM(K34-K32)</f>
        <v>0.49930555555555556</v>
      </c>
      <c r="L35" s="24"/>
      <c r="M35" s="56">
        <f>SUM(M34-M32)</f>
        <v>0.49930555555555556</v>
      </c>
      <c r="N35" s="55"/>
      <c r="O35" s="56">
        <f>SUM(O34-O32)</f>
        <v>0.49930555555555556</v>
      </c>
      <c r="P35" s="55"/>
      <c r="Q35" s="56">
        <f>SUM(Q34-Q32)</f>
        <v>0.33958333333333335</v>
      </c>
      <c r="R35" s="24"/>
      <c r="S35" s="35">
        <f>SUM(S34-S32)</f>
        <v>0.38680555555555557</v>
      </c>
      <c r="T35" s="24"/>
      <c r="U35" s="35">
        <f>SUM(U34-U32)</f>
        <v>0.38680555555555557</v>
      </c>
      <c r="V35" s="24"/>
      <c r="W35" s="35">
        <f>SUM(W34-W32)</f>
        <v>0.38680555555555557</v>
      </c>
      <c r="X35" s="24"/>
      <c r="Y35" s="35">
        <f>SUM(Y34-Y32)</f>
        <v>0.38680555555555557</v>
      </c>
      <c r="Z35" s="24"/>
      <c r="AA35" s="35">
        <f>SUM(AA34-AA32)</f>
        <v>0.38680555555555557</v>
      </c>
      <c r="AB35" s="24"/>
      <c r="AC35" s="35">
        <f>SUM(AC34-AC32)</f>
        <v>0.38680555555555557</v>
      </c>
      <c r="AD35" s="24"/>
      <c r="AE35" s="35">
        <f>SUM(AE34-AE32)</f>
        <v>0.38680555555555557</v>
      </c>
      <c r="AF35" s="24"/>
      <c r="AG35" s="35">
        <f>SUM(AG34-AG32)</f>
        <v>0.38680555555555557</v>
      </c>
      <c r="AH35" s="121"/>
    </row>
    <row r="36" spans="1:34" ht="15.75" x14ac:dyDescent="0.25">
      <c r="A36" s="32" t="s">
        <v>8</v>
      </c>
      <c r="B36" s="42" t="s">
        <v>34</v>
      </c>
      <c r="C36" s="45">
        <v>692</v>
      </c>
      <c r="D36" s="45">
        <v>692</v>
      </c>
      <c r="E36" s="45">
        <v>692</v>
      </c>
      <c r="F36" s="45">
        <v>692</v>
      </c>
      <c r="G36" s="45">
        <v>692</v>
      </c>
      <c r="H36" s="45">
        <v>692</v>
      </c>
      <c r="I36" s="45">
        <v>692</v>
      </c>
      <c r="J36" s="45">
        <v>692</v>
      </c>
      <c r="K36" s="45">
        <v>692</v>
      </c>
      <c r="L36" s="45">
        <v>692</v>
      </c>
      <c r="M36" s="45">
        <v>692</v>
      </c>
      <c r="N36" s="45">
        <v>692</v>
      </c>
      <c r="O36" s="45">
        <v>692</v>
      </c>
      <c r="P36" s="45">
        <v>692</v>
      </c>
      <c r="Q36" s="46">
        <f t="shared" ref="Q36:AF36" si="16">P36</f>
        <v>692</v>
      </c>
      <c r="R36" s="46">
        <f t="shared" si="16"/>
        <v>692</v>
      </c>
      <c r="S36" s="46">
        <f t="shared" si="16"/>
        <v>692</v>
      </c>
      <c r="T36" s="46">
        <f t="shared" si="16"/>
        <v>692</v>
      </c>
      <c r="U36" s="46">
        <f t="shared" si="16"/>
        <v>692</v>
      </c>
      <c r="V36" s="46">
        <f t="shared" si="16"/>
        <v>692</v>
      </c>
      <c r="W36" s="46">
        <f t="shared" si="16"/>
        <v>692</v>
      </c>
      <c r="X36" s="46">
        <f t="shared" si="16"/>
        <v>692</v>
      </c>
      <c r="Y36" s="46">
        <f t="shared" si="16"/>
        <v>692</v>
      </c>
      <c r="Z36" s="46">
        <f t="shared" si="16"/>
        <v>692</v>
      </c>
      <c r="AA36" s="46">
        <f t="shared" si="16"/>
        <v>692</v>
      </c>
      <c r="AB36" s="46">
        <f t="shared" si="16"/>
        <v>692</v>
      </c>
      <c r="AC36" s="46">
        <f t="shared" si="16"/>
        <v>692</v>
      </c>
      <c r="AD36" s="46">
        <f t="shared" si="16"/>
        <v>692</v>
      </c>
      <c r="AE36" s="46">
        <f t="shared" si="16"/>
        <v>692</v>
      </c>
      <c r="AF36" s="46">
        <f t="shared" si="16"/>
        <v>692</v>
      </c>
      <c r="AG36" s="46">
        <v>692</v>
      </c>
      <c r="AH36" s="121"/>
    </row>
    <row r="37" spans="1:34" ht="15.75" x14ac:dyDescent="0.25">
      <c r="A37" s="29" t="s">
        <v>13</v>
      </c>
      <c r="B37" s="42" t="s">
        <v>34</v>
      </c>
      <c r="C37" s="47">
        <v>0.32777777777777778</v>
      </c>
      <c r="D37" s="47">
        <v>0.32777777777777778</v>
      </c>
      <c r="E37" s="47">
        <v>0.32777777777777778</v>
      </c>
      <c r="F37" s="47">
        <v>0.32777777777777778</v>
      </c>
      <c r="G37" s="47">
        <v>0.32777777777777778</v>
      </c>
      <c r="H37" s="47">
        <v>0.32777777777777778</v>
      </c>
      <c r="I37" s="47">
        <v>0.32777777777777778</v>
      </c>
      <c r="J37" s="47">
        <v>0.32777777777777778</v>
      </c>
      <c r="K37" s="47">
        <v>0.32777777777777778</v>
      </c>
      <c r="L37" s="47">
        <v>0.32777777777777778</v>
      </c>
      <c r="M37" s="47">
        <v>0.32777777777777778</v>
      </c>
      <c r="N37" s="47">
        <v>0.32777777777777778</v>
      </c>
      <c r="O37" s="47">
        <v>0.32777777777777778</v>
      </c>
      <c r="P37" s="47">
        <v>0.32777777777777778</v>
      </c>
      <c r="Q37" s="47">
        <f t="shared" ref="Q37:AG37" si="17">P37</f>
        <v>0.32777777777777778</v>
      </c>
      <c r="R37" s="47">
        <v>0.3298611111111111</v>
      </c>
      <c r="S37" s="47">
        <f t="shared" si="17"/>
        <v>0.3298611111111111</v>
      </c>
      <c r="T37" s="47">
        <f t="shared" si="17"/>
        <v>0.3298611111111111</v>
      </c>
      <c r="U37" s="47">
        <f t="shared" si="17"/>
        <v>0.3298611111111111</v>
      </c>
      <c r="V37" s="47">
        <f t="shared" si="17"/>
        <v>0.3298611111111111</v>
      </c>
      <c r="W37" s="47">
        <f t="shared" si="17"/>
        <v>0.3298611111111111</v>
      </c>
      <c r="X37" s="47">
        <f t="shared" si="17"/>
        <v>0.3298611111111111</v>
      </c>
      <c r="Y37" s="47">
        <f t="shared" si="17"/>
        <v>0.3298611111111111</v>
      </c>
      <c r="Z37" s="47">
        <f t="shared" si="17"/>
        <v>0.3298611111111111</v>
      </c>
      <c r="AA37" s="47">
        <f t="shared" si="17"/>
        <v>0.3298611111111111</v>
      </c>
      <c r="AB37" s="47">
        <f t="shared" si="17"/>
        <v>0.3298611111111111</v>
      </c>
      <c r="AC37" s="47">
        <f t="shared" si="17"/>
        <v>0.3298611111111111</v>
      </c>
      <c r="AD37" s="47">
        <f t="shared" si="17"/>
        <v>0.3298611111111111</v>
      </c>
      <c r="AE37" s="47">
        <f t="shared" si="17"/>
        <v>0.3298611111111111</v>
      </c>
      <c r="AF37" s="47">
        <f t="shared" si="17"/>
        <v>0.3298611111111111</v>
      </c>
      <c r="AG37" s="47">
        <f t="shared" si="17"/>
        <v>0.3298611111111111</v>
      </c>
      <c r="AH37" s="121"/>
    </row>
    <row r="38" spans="1:34" ht="15.75" x14ac:dyDescent="0.25">
      <c r="A38" s="30" t="s">
        <v>9</v>
      </c>
      <c r="B38" s="42" t="s">
        <v>34</v>
      </c>
      <c r="C38" s="46">
        <v>691</v>
      </c>
      <c r="D38" s="46">
        <v>691</v>
      </c>
      <c r="E38" s="46">
        <v>691</v>
      </c>
      <c r="F38" s="46">
        <v>691</v>
      </c>
      <c r="G38" s="46">
        <v>691</v>
      </c>
      <c r="H38" s="46">
        <v>691</v>
      </c>
      <c r="I38" s="46">
        <v>691</v>
      </c>
      <c r="J38" s="46">
        <v>691</v>
      </c>
      <c r="K38" s="46">
        <v>691</v>
      </c>
      <c r="L38" s="46">
        <v>691</v>
      </c>
      <c r="M38" s="46">
        <v>691</v>
      </c>
      <c r="N38" s="46">
        <v>691</v>
      </c>
      <c r="O38" s="46">
        <v>691</v>
      </c>
      <c r="P38" s="46">
        <v>691</v>
      </c>
      <c r="Q38" s="46">
        <f t="shared" ref="Q38:S38" si="18">P38</f>
        <v>691</v>
      </c>
      <c r="R38" s="46">
        <f t="shared" si="18"/>
        <v>691</v>
      </c>
      <c r="S38" s="46">
        <f t="shared" si="18"/>
        <v>691</v>
      </c>
      <c r="T38" s="46">
        <f t="shared" ref="T38:AG38" si="19">S38</f>
        <v>691</v>
      </c>
      <c r="U38" s="46">
        <f t="shared" si="19"/>
        <v>691</v>
      </c>
      <c r="V38" s="46">
        <f t="shared" si="19"/>
        <v>691</v>
      </c>
      <c r="W38" s="46">
        <f t="shared" si="19"/>
        <v>691</v>
      </c>
      <c r="X38" s="46">
        <f t="shared" si="19"/>
        <v>691</v>
      </c>
      <c r="Y38" s="46">
        <f t="shared" si="19"/>
        <v>691</v>
      </c>
      <c r="Z38" s="46">
        <f t="shared" si="19"/>
        <v>691</v>
      </c>
      <c r="AA38" s="46">
        <f t="shared" si="19"/>
        <v>691</v>
      </c>
      <c r="AB38" s="46">
        <f t="shared" si="19"/>
        <v>691</v>
      </c>
      <c r="AC38" s="46">
        <f t="shared" si="19"/>
        <v>691</v>
      </c>
      <c r="AD38" s="46">
        <f t="shared" si="19"/>
        <v>691</v>
      </c>
      <c r="AE38" s="46">
        <f t="shared" si="19"/>
        <v>691</v>
      </c>
      <c r="AF38" s="46">
        <f t="shared" si="19"/>
        <v>691</v>
      </c>
      <c r="AG38" s="46">
        <f t="shared" si="19"/>
        <v>691</v>
      </c>
      <c r="AH38" s="121"/>
    </row>
    <row r="39" spans="1:34" ht="15.75" x14ac:dyDescent="0.25">
      <c r="A39" s="29" t="s">
        <v>10</v>
      </c>
      <c r="B39" s="42" t="s">
        <v>34</v>
      </c>
      <c r="C39" s="47">
        <v>0.60763888888888884</v>
      </c>
      <c r="D39" s="47">
        <v>0.60763888888888884</v>
      </c>
      <c r="E39" s="47">
        <v>0.60763888888888884</v>
      </c>
      <c r="F39" s="47">
        <v>0.60763888888888884</v>
      </c>
      <c r="G39" s="47">
        <v>0.60763888888888884</v>
      </c>
      <c r="H39" s="47">
        <v>0.60763888888888884</v>
      </c>
      <c r="I39" s="47">
        <v>0.60763888888888884</v>
      </c>
      <c r="J39" s="47">
        <v>0.60763888888888884</v>
      </c>
      <c r="K39" s="47">
        <v>0.60763888888888884</v>
      </c>
      <c r="L39" s="47">
        <v>0.60763888888888884</v>
      </c>
      <c r="M39" s="47">
        <v>0.60763888888888884</v>
      </c>
      <c r="N39" s="47">
        <v>0.60763888888888884</v>
      </c>
      <c r="O39" s="47">
        <v>0.60763888888888884</v>
      </c>
      <c r="P39" s="47">
        <v>0.60763888888888884</v>
      </c>
      <c r="Q39" s="47">
        <v>0.60416666666666663</v>
      </c>
      <c r="R39" s="47">
        <f t="shared" ref="R39:AG39" si="20">Q39</f>
        <v>0.60416666666666663</v>
      </c>
      <c r="S39" s="47">
        <f t="shared" si="20"/>
        <v>0.60416666666666663</v>
      </c>
      <c r="T39" s="47">
        <f t="shared" si="20"/>
        <v>0.60416666666666663</v>
      </c>
      <c r="U39" s="47">
        <f t="shared" si="20"/>
        <v>0.60416666666666663</v>
      </c>
      <c r="V39" s="47">
        <f t="shared" si="20"/>
        <v>0.60416666666666663</v>
      </c>
      <c r="W39" s="47">
        <f t="shared" si="20"/>
        <v>0.60416666666666663</v>
      </c>
      <c r="X39" s="47">
        <f t="shared" si="20"/>
        <v>0.60416666666666663</v>
      </c>
      <c r="Y39" s="47">
        <f t="shared" si="20"/>
        <v>0.60416666666666663</v>
      </c>
      <c r="Z39" s="47">
        <f t="shared" si="20"/>
        <v>0.60416666666666663</v>
      </c>
      <c r="AA39" s="47">
        <f t="shared" si="20"/>
        <v>0.60416666666666663</v>
      </c>
      <c r="AB39" s="47">
        <f t="shared" si="20"/>
        <v>0.60416666666666663</v>
      </c>
      <c r="AC39" s="47">
        <f t="shared" si="20"/>
        <v>0.60416666666666663</v>
      </c>
      <c r="AD39" s="47">
        <f t="shared" si="20"/>
        <v>0.60416666666666663</v>
      </c>
      <c r="AE39" s="47">
        <f t="shared" si="20"/>
        <v>0.60416666666666663</v>
      </c>
      <c r="AF39" s="47">
        <f t="shared" si="20"/>
        <v>0.60416666666666663</v>
      </c>
      <c r="AG39" s="47">
        <f t="shared" si="20"/>
        <v>0.60416666666666663</v>
      </c>
      <c r="AH39" s="121"/>
    </row>
    <row r="40" spans="1:34" ht="16.5" thickBot="1" x14ac:dyDescent="0.3">
      <c r="A40" s="33" t="s">
        <v>11</v>
      </c>
      <c r="B40" s="42" t="s">
        <v>34</v>
      </c>
      <c r="C40" s="50">
        <f>SUM(C39-C37)</f>
        <v>0.27986111111111106</v>
      </c>
      <c r="D40" s="50">
        <f t="shared" ref="D40:AG40" si="21">SUM(D39-D37)</f>
        <v>0.27986111111111106</v>
      </c>
      <c r="E40" s="50">
        <f t="shared" si="21"/>
        <v>0.27986111111111106</v>
      </c>
      <c r="F40" s="50">
        <f t="shared" si="21"/>
        <v>0.27986111111111106</v>
      </c>
      <c r="G40" s="50">
        <f t="shared" si="21"/>
        <v>0.27986111111111106</v>
      </c>
      <c r="H40" s="50">
        <f t="shared" si="21"/>
        <v>0.27986111111111106</v>
      </c>
      <c r="I40" s="50">
        <f t="shared" si="21"/>
        <v>0.27986111111111106</v>
      </c>
      <c r="J40" s="50">
        <f t="shared" si="21"/>
        <v>0.27986111111111106</v>
      </c>
      <c r="K40" s="50">
        <f t="shared" si="21"/>
        <v>0.27986111111111106</v>
      </c>
      <c r="L40" s="50">
        <f t="shared" si="21"/>
        <v>0.27986111111111106</v>
      </c>
      <c r="M40" s="50">
        <f t="shared" si="21"/>
        <v>0.27986111111111106</v>
      </c>
      <c r="N40" s="50">
        <f t="shared" si="21"/>
        <v>0.27986111111111106</v>
      </c>
      <c r="O40" s="50">
        <f t="shared" si="21"/>
        <v>0.27986111111111106</v>
      </c>
      <c r="P40" s="50">
        <f t="shared" si="21"/>
        <v>0.27986111111111106</v>
      </c>
      <c r="Q40" s="50">
        <f t="shared" si="21"/>
        <v>0.27638888888888885</v>
      </c>
      <c r="R40" s="50">
        <f t="shared" si="21"/>
        <v>0.27430555555555552</v>
      </c>
      <c r="S40" s="50">
        <f t="shared" si="21"/>
        <v>0.27430555555555552</v>
      </c>
      <c r="T40" s="50">
        <f t="shared" si="21"/>
        <v>0.27430555555555552</v>
      </c>
      <c r="U40" s="50">
        <f t="shared" si="21"/>
        <v>0.27430555555555552</v>
      </c>
      <c r="V40" s="50">
        <f t="shared" si="21"/>
        <v>0.27430555555555552</v>
      </c>
      <c r="W40" s="50">
        <f t="shared" si="21"/>
        <v>0.27430555555555552</v>
      </c>
      <c r="X40" s="50">
        <f t="shared" si="21"/>
        <v>0.27430555555555552</v>
      </c>
      <c r="Y40" s="50">
        <f t="shared" si="21"/>
        <v>0.27430555555555552</v>
      </c>
      <c r="Z40" s="50">
        <f t="shared" si="21"/>
        <v>0.27430555555555552</v>
      </c>
      <c r="AA40" s="50">
        <f t="shared" si="21"/>
        <v>0.27430555555555552</v>
      </c>
      <c r="AB40" s="50">
        <f t="shared" si="21"/>
        <v>0.27430555555555552</v>
      </c>
      <c r="AC40" s="50">
        <f t="shared" si="21"/>
        <v>0.27430555555555552</v>
      </c>
      <c r="AD40" s="50">
        <f t="shared" si="21"/>
        <v>0.27430555555555552</v>
      </c>
      <c r="AE40" s="50">
        <f t="shared" si="21"/>
        <v>0.27430555555555552</v>
      </c>
      <c r="AF40" s="50">
        <f t="shared" si="21"/>
        <v>0.27430555555555552</v>
      </c>
      <c r="AG40" s="50">
        <f t="shared" si="21"/>
        <v>0.27430555555555552</v>
      </c>
      <c r="AH40" s="121"/>
    </row>
    <row r="41" spans="1:34" ht="15.75" x14ac:dyDescent="0.25">
      <c r="A41" s="32" t="s">
        <v>8</v>
      </c>
      <c r="B41" s="42" t="s">
        <v>18</v>
      </c>
      <c r="C41" s="85"/>
      <c r="D41" s="97"/>
      <c r="E41" s="51"/>
      <c r="F41" s="101"/>
      <c r="G41" s="51"/>
      <c r="H41" s="101"/>
      <c r="I41" s="51"/>
      <c r="J41" s="101"/>
      <c r="K41" s="51"/>
      <c r="L41" s="101"/>
      <c r="M41" s="51"/>
      <c r="N41" s="97"/>
      <c r="O41" s="51"/>
      <c r="P41" s="97"/>
      <c r="Q41" s="51"/>
      <c r="R41" s="97"/>
      <c r="S41" s="51"/>
      <c r="T41" s="101"/>
      <c r="U41" s="51"/>
      <c r="V41" s="101"/>
      <c r="W41" s="51"/>
      <c r="X41" s="101"/>
      <c r="Y41" s="51"/>
      <c r="Z41" s="101"/>
      <c r="AA41" s="51"/>
      <c r="AB41" s="97"/>
      <c r="AC41" s="51"/>
      <c r="AD41" s="97"/>
      <c r="AE41" s="51"/>
      <c r="AF41" s="80"/>
      <c r="AG41" s="88"/>
      <c r="AH41" s="122"/>
    </row>
    <row r="42" spans="1:34" ht="15.75" x14ac:dyDescent="0.25">
      <c r="A42" s="29" t="s">
        <v>13</v>
      </c>
      <c r="B42" s="42" t="s">
        <v>18</v>
      </c>
      <c r="C42" s="86"/>
      <c r="D42" s="98"/>
      <c r="E42" s="52"/>
      <c r="F42" s="102"/>
      <c r="G42" s="52"/>
      <c r="H42" s="102"/>
      <c r="I42" s="52"/>
      <c r="J42" s="102"/>
      <c r="K42" s="52"/>
      <c r="L42" s="102"/>
      <c r="M42" s="52"/>
      <c r="N42" s="98"/>
      <c r="O42" s="52"/>
      <c r="P42" s="98"/>
      <c r="Q42" s="52"/>
      <c r="R42" s="98"/>
      <c r="S42" s="52"/>
      <c r="T42" s="102"/>
      <c r="U42" s="52"/>
      <c r="V42" s="102"/>
      <c r="W42" s="52"/>
      <c r="X42" s="102"/>
      <c r="Y42" s="52"/>
      <c r="Z42" s="102"/>
      <c r="AA42" s="52"/>
      <c r="AB42" s="98"/>
      <c r="AC42" s="52"/>
      <c r="AD42" s="98"/>
      <c r="AE42" s="52"/>
      <c r="AF42" s="49"/>
      <c r="AG42" s="89"/>
      <c r="AH42" s="122"/>
    </row>
    <row r="43" spans="1:34" ht="15.75" x14ac:dyDescent="0.25">
      <c r="A43" s="30" t="s">
        <v>9</v>
      </c>
      <c r="B43" s="42" t="s">
        <v>18</v>
      </c>
      <c r="C43" s="87"/>
      <c r="D43" s="99"/>
      <c r="E43" s="53"/>
      <c r="F43" s="99"/>
      <c r="G43" s="53"/>
      <c r="H43" s="103"/>
      <c r="I43" s="53"/>
      <c r="J43" s="104"/>
      <c r="K43" s="53"/>
      <c r="L43" s="99"/>
      <c r="M43" s="53"/>
      <c r="N43" s="99"/>
      <c r="O43" s="53"/>
      <c r="P43" s="99"/>
      <c r="Q43" s="53"/>
      <c r="R43" s="99"/>
      <c r="S43" s="53"/>
      <c r="T43" s="99"/>
      <c r="U43" s="53"/>
      <c r="V43" s="103"/>
      <c r="W43" s="53"/>
      <c r="X43" s="104"/>
      <c r="Y43" s="53"/>
      <c r="Z43" s="99"/>
      <c r="AA43" s="53"/>
      <c r="AB43" s="99"/>
      <c r="AC43" s="53"/>
      <c r="AD43" s="99"/>
      <c r="AE43" s="53"/>
      <c r="AF43" s="48"/>
      <c r="AG43" s="90"/>
      <c r="AH43" s="122"/>
    </row>
    <row r="44" spans="1:34" ht="15.75" x14ac:dyDescent="0.25">
      <c r="A44" s="29" t="s">
        <v>10</v>
      </c>
      <c r="B44" s="42" t="s">
        <v>18</v>
      </c>
      <c r="C44" s="86"/>
      <c r="D44" s="98"/>
      <c r="E44" s="52"/>
      <c r="F44" s="98"/>
      <c r="G44" s="52"/>
      <c r="H44" s="102"/>
      <c r="I44" s="52"/>
      <c r="J44" s="102"/>
      <c r="K44" s="52"/>
      <c r="L44" s="98"/>
      <c r="M44" s="52"/>
      <c r="N44" s="98"/>
      <c r="O44" s="52"/>
      <c r="P44" s="98"/>
      <c r="Q44" s="52"/>
      <c r="R44" s="98"/>
      <c r="S44" s="52"/>
      <c r="T44" s="98"/>
      <c r="U44" s="52"/>
      <c r="V44" s="102"/>
      <c r="W44" s="52"/>
      <c r="X44" s="102"/>
      <c r="Y44" s="52"/>
      <c r="Z44" s="98"/>
      <c r="AA44" s="52"/>
      <c r="AB44" s="98"/>
      <c r="AC44" s="52"/>
      <c r="AD44" s="98"/>
      <c r="AE44" s="52"/>
      <c r="AF44" s="49"/>
      <c r="AG44" s="89"/>
      <c r="AH44" s="122"/>
    </row>
    <row r="45" spans="1:34" ht="16.5" thickBot="1" x14ac:dyDescent="0.3">
      <c r="A45" s="33" t="s">
        <v>11</v>
      </c>
      <c r="B45" s="59" t="s">
        <v>18</v>
      </c>
      <c r="C45" s="92"/>
      <c r="D45" s="100"/>
      <c r="E45" s="55"/>
      <c r="F45" s="100"/>
      <c r="G45" s="55"/>
      <c r="H45" s="100"/>
      <c r="I45" s="55"/>
      <c r="J45" s="100"/>
      <c r="K45" s="55"/>
      <c r="L45" s="100"/>
      <c r="M45" s="55"/>
      <c r="N45" s="100"/>
      <c r="O45" s="55"/>
      <c r="P45" s="100"/>
      <c r="Q45" s="55"/>
      <c r="R45" s="100"/>
      <c r="S45" s="55"/>
      <c r="T45" s="100"/>
      <c r="U45" s="55"/>
      <c r="V45" s="100"/>
      <c r="W45" s="55"/>
      <c r="X45" s="100"/>
      <c r="Y45" s="55"/>
      <c r="Z45" s="100"/>
      <c r="AA45" s="55"/>
      <c r="AB45" s="100"/>
      <c r="AC45" s="55"/>
      <c r="AD45" s="100"/>
      <c r="AE45" s="55"/>
      <c r="AF45" s="100"/>
      <c r="AG45" s="55"/>
      <c r="AH45" s="122"/>
    </row>
    <row r="46" spans="1:34" ht="15.75" x14ac:dyDescent="0.25">
      <c r="A46" s="93"/>
      <c r="B46" s="94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1"/>
    </row>
  </sheetData>
  <mergeCells count="7">
    <mergeCell ref="I1:V1"/>
    <mergeCell ref="C2:AG2"/>
    <mergeCell ref="AH11:AH30"/>
    <mergeCell ref="AH31:AH45"/>
    <mergeCell ref="A3:A4"/>
    <mergeCell ref="B3:B4"/>
    <mergeCell ref="A5:AG5"/>
  </mergeCells>
  <phoneticPr fontId="14" type="noConversion"/>
  <pageMargins left="0.70866141732283472" right="0.70866141732283472" top="0.74803149606299213" bottom="0.74803149606299213" header="0.31496062992125984" footer="0.31496062992125984"/>
  <pageSetup paperSize="9" scale="37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5"/>
  <sheetViews>
    <sheetView view="pageBreakPreview" zoomScale="60" zoomScaleNormal="70" workbookViewId="0">
      <selection activeCell="C3" sqref="C3:AG4"/>
    </sheetView>
  </sheetViews>
  <sheetFormatPr defaultRowHeight="15" x14ac:dyDescent="0.25"/>
  <cols>
    <col min="1" max="1" width="47.28515625" customWidth="1"/>
    <col min="4" max="4" width="9" customWidth="1"/>
  </cols>
  <sheetData>
    <row r="1" spans="1:33" ht="16.5" thickBot="1" x14ac:dyDescent="0.3">
      <c r="A1" s="1"/>
      <c r="B1" s="1"/>
      <c r="C1" s="1"/>
      <c r="D1" s="1"/>
      <c r="E1" s="1"/>
      <c r="F1" s="1"/>
      <c r="G1" s="1"/>
      <c r="H1" s="1"/>
      <c r="I1" s="114" t="s">
        <v>25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6.5" thickBot="1" x14ac:dyDescent="0.3">
      <c r="A2" s="7"/>
      <c r="B2" s="7"/>
      <c r="C2" s="119" t="s">
        <v>31</v>
      </c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</row>
    <row r="3" spans="1:33" ht="15.75" x14ac:dyDescent="0.25">
      <c r="A3" s="115" t="s">
        <v>0</v>
      </c>
      <c r="B3" s="117" t="s">
        <v>1</v>
      </c>
      <c r="C3" s="10">
        <v>1</v>
      </c>
      <c r="D3" s="11">
        <v>2</v>
      </c>
      <c r="E3" s="11">
        <v>3</v>
      </c>
      <c r="F3" s="11">
        <v>4</v>
      </c>
      <c r="G3" s="11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  <c r="U3" s="11">
        <v>19</v>
      </c>
      <c r="V3" s="11">
        <v>20</v>
      </c>
      <c r="W3" s="11">
        <v>21</v>
      </c>
      <c r="X3" s="11">
        <v>22</v>
      </c>
      <c r="Y3" s="11">
        <v>23</v>
      </c>
      <c r="Z3" s="11">
        <v>24</v>
      </c>
      <c r="AA3" s="11">
        <v>25</v>
      </c>
      <c r="AB3" s="11">
        <v>26</v>
      </c>
      <c r="AC3" s="12">
        <v>27</v>
      </c>
      <c r="AD3" s="12">
        <v>28</v>
      </c>
      <c r="AE3" s="11">
        <v>29</v>
      </c>
      <c r="AF3" s="11">
        <v>30</v>
      </c>
      <c r="AG3" s="14">
        <v>31</v>
      </c>
    </row>
    <row r="4" spans="1:33" ht="16.5" thickBot="1" x14ac:dyDescent="0.3">
      <c r="A4" s="116"/>
      <c r="B4" s="118"/>
      <c r="C4" s="15" t="s">
        <v>7</v>
      </c>
      <c r="D4" s="96" t="s">
        <v>2</v>
      </c>
      <c r="E4" s="74" t="s">
        <v>12</v>
      </c>
      <c r="F4" s="96" t="s">
        <v>3</v>
      </c>
      <c r="G4" s="74" t="s">
        <v>4</v>
      </c>
      <c r="H4" s="96" t="s">
        <v>5</v>
      </c>
      <c r="I4" s="74" t="s">
        <v>6</v>
      </c>
      <c r="J4" s="96" t="s">
        <v>7</v>
      </c>
      <c r="K4" s="74" t="s">
        <v>2</v>
      </c>
      <c r="L4" s="96" t="s">
        <v>12</v>
      </c>
      <c r="M4" s="74" t="s">
        <v>3</v>
      </c>
      <c r="N4" s="96" t="s">
        <v>4</v>
      </c>
      <c r="O4" s="74" t="s">
        <v>5</v>
      </c>
      <c r="P4" s="96" t="s">
        <v>6</v>
      </c>
      <c r="Q4" s="74" t="s">
        <v>7</v>
      </c>
      <c r="R4" s="96" t="s">
        <v>2</v>
      </c>
      <c r="S4" s="74" t="s">
        <v>12</v>
      </c>
      <c r="T4" s="96" t="s">
        <v>3</v>
      </c>
      <c r="U4" s="74" t="s">
        <v>4</v>
      </c>
      <c r="V4" s="96" t="s">
        <v>5</v>
      </c>
      <c r="W4" s="74" t="s">
        <v>6</v>
      </c>
      <c r="X4" s="96" t="s">
        <v>7</v>
      </c>
      <c r="Y4" s="74" t="s">
        <v>2</v>
      </c>
      <c r="Z4" s="96" t="s">
        <v>12</v>
      </c>
      <c r="AA4" s="74" t="s">
        <v>3</v>
      </c>
      <c r="AB4" s="96" t="s">
        <v>4</v>
      </c>
      <c r="AC4" s="74" t="s">
        <v>5</v>
      </c>
      <c r="AD4" s="96" t="s">
        <v>6</v>
      </c>
      <c r="AE4" s="74" t="s">
        <v>7</v>
      </c>
      <c r="AF4" s="96" t="s">
        <v>2</v>
      </c>
      <c r="AG4" s="74" t="s">
        <v>12</v>
      </c>
    </row>
    <row r="5" spans="1:33" ht="20.25" thickBot="1" x14ac:dyDescent="0.4">
      <c r="A5" s="108" t="s">
        <v>19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10"/>
    </row>
    <row r="6" spans="1:33" ht="15.75" x14ac:dyDescent="0.25">
      <c r="A6" s="28" t="s">
        <v>8</v>
      </c>
      <c r="B6" s="71" t="s">
        <v>21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</row>
    <row r="7" spans="1:33" ht="15.75" x14ac:dyDescent="0.25">
      <c r="A7" s="29" t="s">
        <v>13</v>
      </c>
      <c r="B7" s="72" t="s">
        <v>21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47"/>
      <c r="O7" s="4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</row>
    <row r="8" spans="1:33" ht="15.75" x14ac:dyDescent="0.25">
      <c r="A8" s="30" t="s">
        <v>9</v>
      </c>
      <c r="B8" s="64" t="s">
        <v>21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46"/>
      <c r="O8" s="4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</row>
    <row r="9" spans="1:33" ht="15.75" x14ac:dyDescent="0.25">
      <c r="A9" s="29" t="s">
        <v>10</v>
      </c>
      <c r="B9" s="73" t="s">
        <v>21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47"/>
      <c r="O9" s="4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</row>
    <row r="10" spans="1:33" ht="16.5" thickBot="1" x14ac:dyDescent="0.3">
      <c r="A10" s="31" t="s">
        <v>11</v>
      </c>
      <c r="B10" s="59" t="s">
        <v>21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56"/>
      <c r="O10" s="56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spans="1:33" ht="15.75" x14ac:dyDescent="0.25">
      <c r="A11" s="32" t="s">
        <v>8</v>
      </c>
      <c r="B11" s="71" t="s">
        <v>14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45"/>
      <c r="O11" s="45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</row>
    <row r="12" spans="1:33" ht="15.75" x14ac:dyDescent="0.25">
      <c r="A12" s="29" t="s">
        <v>13</v>
      </c>
      <c r="B12" s="72" t="s">
        <v>14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47"/>
      <c r="O12" s="4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</row>
    <row r="13" spans="1:33" ht="15.75" x14ac:dyDescent="0.25">
      <c r="A13" s="30" t="s">
        <v>9</v>
      </c>
      <c r="B13" s="64" t="s">
        <v>14</v>
      </c>
      <c r="C13" s="26"/>
      <c r="D13" s="13"/>
      <c r="E13" s="26"/>
      <c r="F13" s="26"/>
      <c r="G13" s="26"/>
      <c r="H13" s="26"/>
      <c r="I13" s="26"/>
      <c r="J13" s="26"/>
      <c r="K13" s="26"/>
      <c r="L13" s="26"/>
      <c r="M13" s="26"/>
      <c r="N13" s="46"/>
      <c r="O13" s="4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</row>
    <row r="14" spans="1:33" ht="15.75" x14ac:dyDescent="0.25">
      <c r="A14" s="29" t="s">
        <v>10</v>
      </c>
      <c r="B14" s="73" t="s">
        <v>14</v>
      </c>
      <c r="C14" s="27"/>
      <c r="D14" s="8"/>
      <c r="E14" s="27"/>
      <c r="F14" s="27"/>
      <c r="G14" s="27"/>
      <c r="H14" s="27"/>
      <c r="I14" s="27"/>
      <c r="J14" s="27"/>
      <c r="K14" s="27"/>
      <c r="L14" s="27"/>
      <c r="M14" s="27"/>
      <c r="N14" s="47"/>
      <c r="O14" s="4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</row>
    <row r="15" spans="1:33" ht="16.5" thickBot="1" x14ac:dyDescent="0.3">
      <c r="A15" s="31" t="s">
        <v>11</v>
      </c>
      <c r="B15" s="59" t="s">
        <v>14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56"/>
      <c r="O15" s="56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</row>
    <row r="16" spans="1:33" ht="15.75" x14ac:dyDescent="0.25">
      <c r="A16" s="32" t="s">
        <v>8</v>
      </c>
      <c r="B16" s="71" t="s">
        <v>21</v>
      </c>
      <c r="C16" s="34"/>
      <c r="D16" s="19"/>
      <c r="E16" s="34"/>
      <c r="F16" s="19"/>
      <c r="G16" s="34"/>
      <c r="H16" s="19"/>
      <c r="I16" s="34"/>
      <c r="J16" s="19"/>
      <c r="K16" s="34"/>
      <c r="L16" s="19"/>
      <c r="M16" s="34"/>
      <c r="N16" s="51"/>
      <c r="O16" s="51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36"/>
    </row>
    <row r="17" spans="1:33" ht="15.75" x14ac:dyDescent="0.25">
      <c r="A17" s="29" t="s">
        <v>13</v>
      </c>
      <c r="B17" s="72" t="s">
        <v>21</v>
      </c>
      <c r="C17" s="27"/>
      <c r="D17" s="8"/>
      <c r="E17" s="27"/>
      <c r="F17" s="8"/>
      <c r="G17" s="27"/>
      <c r="H17" s="8"/>
      <c r="I17" s="27"/>
      <c r="J17" s="8"/>
      <c r="K17" s="27"/>
      <c r="L17" s="8"/>
      <c r="M17" s="27"/>
      <c r="N17" s="52"/>
      <c r="O17" s="52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27"/>
    </row>
    <row r="18" spans="1:33" ht="15.75" x14ac:dyDescent="0.25">
      <c r="A18" s="30" t="s">
        <v>9</v>
      </c>
      <c r="B18" s="64" t="s">
        <v>21</v>
      </c>
      <c r="C18" s="26"/>
      <c r="D18" s="13"/>
      <c r="E18" s="26"/>
      <c r="F18" s="13"/>
      <c r="G18" s="26"/>
      <c r="H18" s="13"/>
      <c r="I18" s="26"/>
      <c r="J18" s="13"/>
      <c r="K18" s="26"/>
      <c r="L18" s="13"/>
      <c r="M18" s="26"/>
      <c r="N18" s="53"/>
      <c r="O18" s="53"/>
      <c r="P18" s="13"/>
      <c r="Q18" s="13"/>
      <c r="R18" s="13"/>
      <c r="S18" s="26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26"/>
    </row>
    <row r="19" spans="1:33" ht="15.75" x14ac:dyDescent="0.25">
      <c r="A19" s="29" t="s">
        <v>10</v>
      </c>
      <c r="B19" s="73" t="s">
        <v>21</v>
      </c>
      <c r="C19" s="27"/>
      <c r="D19" s="8"/>
      <c r="E19" s="27"/>
      <c r="F19" s="8"/>
      <c r="G19" s="27"/>
      <c r="H19" s="8"/>
      <c r="I19" s="27"/>
      <c r="J19" s="8"/>
      <c r="K19" s="27"/>
      <c r="L19" s="8"/>
      <c r="M19" s="27"/>
      <c r="N19" s="52"/>
      <c r="O19" s="52"/>
      <c r="P19" s="8"/>
      <c r="Q19" s="8"/>
      <c r="R19" s="8"/>
      <c r="S19" s="27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27"/>
    </row>
    <row r="20" spans="1:33" ht="16.5" thickBot="1" x14ac:dyDescent="0.3">
      <c r="A20" s="79" t="s">
        <v>11</v>
      </c>
      <c r="B20" s="59" t="s">
        <v>21</v>
      </c>
      <c r="C20" s="35"/>
      <c r="D20" s="24"/>
      <c r="E20" s="35"/>
      <c r="F20" s="24"/>
      <c r="G20" s="35"/>
      <c r="H20" s="24"/>
      <c r="I20" s="35"/>
      <c r="J20" s="24"/>
      <c r="K20" s="35"/>
      <c r="L20" s="24"/>
      <c r="M20" s="35"/>
      <c r="N20" s="55"/>
      <c r="O20" s="55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35"/>
    </row>
    <row r="21" spans="1:33" ht="15.75" x14ac:dyDescent="0.25">
      <c r="A21" s="28" t="s">
        <v>8</v>
      </c>
      <c r="B21" s="71" t="s">
        <v>21</v>
      </c>
      <c r="C21" s="34"/>
      <c r="D21" s="19"/>
      <c r="E21" s="34"/>
      <c r="F21" s="19"/>
      <c r="G21" s="34"/>
      <c r="H21" s="19"/>
      <c r="I21" s="34"/>
      <c r="J21" s="19"/>
      <c r="K21" s="34"/>
      <c r="L21" s="19"/>
      <c r="M21" s="34"/>
      <c r="N21" s="51"/>
      <c r="O21" s="51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spans="1:33" ht="15.75" x14ac:dyDescent="0.25">
      <c r="A22" s="29" t="s">
        <v>13</v>
      </c>
      <c r="B22" s="72" t="s">
        <v>21</v>
      </c>
      <c r="C22" s="27"/>
      <c r="D22" s="8"/>
      <c r="E22" s="27"/>
      <c r="F22" s="8"/>
      <c r="G22" s="27"/>
      <c r="H22" s="8"/>
      <c r="I22" s="27"/>
      <c r="J22" s="8"/>
      <c r="K22" s="27"/>
      <c r="L22" s="8"/>
      <c r="M22" s="27"/>
      <c r="N22" s="52"/>
      <c r="O22" s="52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1:33" ht="15.75" x14ac:dyDescent="0.25">
      <c r="A23" s="30" t="s">
        <v>9</v>
      </c>
      <c r="B23" s="64" t="s">
        <v>21</v>
      </c>
      <c r="C23" s="26"/>
      <c r="D23" s="13"/>
      <c r="E23" s="26"/>
      <c r="F23" s="13"/>
      <c r="G23" s="26"/>
      <c r="H23" s="13"/>
      <c r="I23" s="26"/>
      <c r="J23" s="13"/>
      <c r="K23" s="26"/>
      <c r="L23" s="13"/>
      <c r="M23" s="26"/>
      <c r="N23" s="53"/>
      <c r="O23" s="5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ht="15.75" x14ac:dyDescent="0.25">
      <c r="A24" s="29" t="s">
        <v>10</v>
      </c>
      <c r="B24" s="73" t="s">
        <v>21</v>
      </c>
      <c r="C24" s="27"/>
      <c r="D24" s="8"/>
      <c r="E24" s="27"/>
      <c r="F24" s="8"/>
      <c r="G24" s="27"/>
      <c r="H24" s="8"/>
      <c r="I24" s="27"/>
      <c r="J24" s="8"/>
      <c r="K24" s="27"/>
      <c r="L24" s="8"/>
      <c r="M24" s="27"/>
      <c r="N24" s="52"/>
      <c r="O24" s="52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33" ht="16.5" thickBot="1" x14ac:dyDescent="0.3">
      <c r="A25" s="31" t="s">
        <v>11</v>
      </c>
      <c r="B25" s="59" t="s">
        <v>21</v>
      </c>
      <c r="C25" s="35"/>
      <c r="D25" s="24"/>
      <c r="E25" s="35"/>
      <c r="F25" s="24"/>
      <c r="G25" s="35"/>
      <c r="H25" s="24"/>
      <c r="I25" s="35"/>
      <c r="J25" s="24"/>
      <c r="K25" s="35"/>
      <c r="L25" s="24"/>
      <c r="M25" s="35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</sheetData>
  <mergeCells count="5">
    <mergeCell ref="I1:V1"/>
    <mergeCell ref="A5:AG5"/>
    <mergeCell ref="C2:AG2"/>
    <mergeCell ref="A3:A4"/>
    <mergeCell ref="B3:B4"/>
  </mergeCells>
  <pageMargins left="0.70866141732283472" right="0.70866141732283472" top="0.74803149606299213" bottom="0.74803149606299213" header="0.31496062992125984" footer="0.31496062992125984"/>
  <pageSetup paperSize="9" scale="37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0"/>
  <sheetViews>
    <sheetView zoomScale="70" zoomScaleNormal="70" workbookViewId="0">
      <selection activeCell="Q10" sqref="Q10"/>
    </sheetView>
  </sheetViews>
  <sheetFormatPr defaultRowHeight="15" x14ac:dyDescent="0.25"/>
  <cols>
    <col min="1" max="1" width="37.140625" customWidth="1"/>
    <col min="3" max="3" width="9.140625" customWidth="1"/>
  </cols>
  <sheetData>
    <row r="1" spans="1:33" ht="16.5" thickBot="1" x14ac:dyDescent="0.3">
      <c r="A1" s="1"/>
      <c r="B1" s="1"/>
      <c r="C1" s="1"/>
      <c r="D1" s="1"/>
      <c r="E1" s="1"/>
      <c r="F1" s="1"/>
      <c r="G1" s="1"/>
      <c r="H1" s="1"/>
      <c r="I1" s="114" t="s">
        <v>24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6.5" thickBot="1" x14ac:dyDescent="0.3">
      <c r="A2" s="7"/>
      <c r="B2" s="7"/>
      <c r="C2" s="119" t="s">
        <v>31</v>
      </c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</row>
    <row r="3" spans="1:33" ht="15.75" x14ac:dyDescent="0.25">
      <c r="A3" s="115" t="s">
        <v>0</v>
      </c>
      <c r="B3" s="117" t="s">
        <v>1</v>
      </c>
      <c r="C3" s="10">
        <v>1</v>
      </c>
      <c r="D3" s="11">
        <v>2</v>
      </c>
      <c r="E3" s="11">
        <v>3</v>
      </c>
      <c r="F3" s="11">
        <v>4</v>
      </c>
      <c r="G3" s="11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  <c r="U3" s="11">
        <v>19</v>
      </c>
      <c r="V3" s="11">
        <v>20</v>
      </c>
      <c r="W3" s="11">
        <v>21</v>
      </c>
      <c r="X3" s="11">
        <v>22</v>
      </c>
      <c r="Y3" s="11">
        <v>23</v>
      </c>
      <c r="Z3" s="11">
        <v>24</v>
      </c>
      <c r="AA3" s="11">
        <v>25</v>
      </c>
      <c r="AB3" s="11">
        <v>26</v>
      </c>
      <c r="AC3" s="12">
        <v>27</v>
      </c>
      <c r="AD3" s="12">
        <v>28</v>
      </c>
      <c r="AE3" s="11">
        <v>29</v>
      </c>
      <c r="AF3" s="11">
        <v>30</v>
      </c>
      <c r="AG3" s="14">
        <v>31</v>
      </c>
    </row>
    <row r="4" spans="1:33" ht="16.5" thickBot="1" x14ac:dyDescent="0.3">
      <c r="A4" s="116"/>
      <c r="B4" s="118"/>
      <c r="C4" s="15" t="s">
        <v>7</v>
      </c>
      <c r="D4" s="16" t="s">
        <v>2</v>
      </c>
      <c r="E4" s="16" t="s">
        <v>12</v>
      </c>
      <c r="F4" s="16" t="s">
        <v>3</v>
      </c>
      <c r="G4" s="16" t="s">
        <v>4</v>
      </c>
      <c r="H4" s="16" t="s">
        <v>5</v>
      </c>
      <c r="I4" s="16" t="s">
        <v>6</v>
      </c>
      <c r="J4" s="16" t="s">
        <v>7</v>
      </c>
      <c r="K4" s="16" t="s">
        <v>2</v>
      </c>
      <c r="L4" s="16" t="s">
        <v>12</v>
      </c>
      <c r="M4" s="16" t="s">
        <v>3</v>
      </c>
      <c r="N4" s="16" t="s">
        <v>4</v>
      </c>
      <c r="O4" s="16" t="s">
        <v>5</v>
      </c>
      <c r="P4" s="16" t="s">
        <v>6</v>
      </c>
      <c r="Q4" s="16" t="s">
        <v>7</v>
      </c>
      <c r="R4" s="16" t="s">
        <v>2</v>
      </c>
      <c r="S4" s="16" t="s">
        <v>12</v>
      </c>
      <c r="T4" s="16" t="s">
        <v>3</v>
      </c>
      <c r="U4" s="16" t="s">
        <v>4</v>
      </c>
      <c r="V4" s="16" t="s">
        <v>5</v>
      </c>
      <c r="W4" s="16" t="s">
        <v>6</v>
      </c>
      <c r="X4" s="16" t="s">
        <v>7</v>
      </c>
      <c r="Y4" s="16" t="s">
        <v>2</v>
      </c>
      <c r="Z4" s="16" t="s">
        <v>12</v>
      </c>
      <c r="AA4" s="16" t="s">
        <v>3</v>
      </c>
      <c r="AB4" s="16" t="s">
        <v>4</v>
      </c>
      <c r="AC4" s="16" t="s">
        <v>5</v>
      </c>
      <c r="AD4" s="16" t="s">
        <v>6</v>
      </c>
      <c r="AE4" s="16" t="s">
        <v>7</v>
      </c>
      <c r="AF4" s="16" t="s">
        <v>2</v>
      </c>
      <c r="AG4" s="16" t="s">
        <v>12</v>
      </c>
    </row>
    <row r="5" spans="1:33" ht="20.25" thickBot="1" x14ac:dyDescent="0.4">
      <c r="A5" s="108" t="s">
        <v>19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10"/>
    </row>
    <row r="6" spans="1:33" ht="15.75" x14ac:dyDescent="0.25">
      <c r="A6" s="28" t="s">
        <v>8</v>
      </c>
      <c r="B6" s="43" t="s">
        <v>15</v>
      </c>
      <c r="C6" s="34">
        <v>109</v>
      </c>
      <c r="D6" s="34">
        <v>109</v>
      </c>
      <c r="E6" s="34">
        <v>109</v>
      </c>
      <c r="F6" s="34">
        <v>109</v>
      </c>
      <c r="G6" s="34">
        <v>109</v>
      </c>
      <c r="H6" s="34">
        <v>109</v>
      </c>
      <c r="I6" s="34">
        <v>109</v>
      </c>
      <c r="J6" s="34">
        <v>109</v>
      </c>
      <c r="K6" s="34">
        <v>109</v>
      </c>
      <c r="L6" s="34">
        <v>109</v>
      </c>
      <c r="M6" s="34">
        <v>109</v>
      </c>
      <c r="N6" s="34">
        <v>109</v>
      </c>
      <c r="O6" s="34">
        <v>109</v>
      </c>
      <c r="P6" s="34">
        <v>109</v>
      </c>
      <c r="Q6" s="34">
        <v>109</v>
      </c>
      <c r="R6" s="34">
        <v>109</v>
      </c>
      <c r="S6" s="34">
        <v>109</v>
      </c>
      <c r="T6" s="34">
        <v>109</v>
      </c>
      <c r="U6" s="34">
        <v>109</v>
      </c>
      <c r="V6" s="34">
        <v>109</v>
      </c>
      <c r="W6" s="34">
        <v>109</v>
      </c>
      <c r="X6" s="34">
        <v>109</v>
      </c>
      <c r="Y6" s="34">
        <v>109</v>
      </c>
      <c r="Z6" s="34">
        <v>109</v>
      </c>
      <c r="AA6" s="34">
        <v>109</v>
      </c>
      <c r="AB6" s="34">
        <v>109</v>
      </c>
      <c r="AC6" s="34">
        <v>109</v>
      </c>
      <c r="AD6" s="34">
        <v>109</v>
      </c>
      <c r="AE6" s="34">
        <v>109</v>
      </c>
      <c r="AF6" s="34">
        <v>109</v>
      </c>
      <c r="AG6" s="20">
        <v>109</v>
      </c>
    </row>
    <row r="7" spans="1:33" ht="15.75" x14ac:dyDescent="0.25">
      <c r="A7" s="29" t="s">
        <v>13</v>
      </c>
      <c r="B7" s="73" t="s">
        <v>15</v>
      </c>
      <c r="C7" s="27">
        <v>0.63888888888888884</v>
      </c>
      <c r="D7" s="27">
        <v>0.63888888888888884</v>
      </c>
      <c r="E7" s="27">
        <v>0.63888888888888884</v>
      </c>
      <c r="F7" s="27">
        <v>0.63888888888888884</v>
      </c>
      <c r="G7" s="27">
        <v>0.63888888888888884</v>
      </c>
      <c r="H7" s="27">
        <v>0.63888888888888884</v>
      </c>
      <c r="I7" s="27">
        <v>0.63888888888888884</v>
      </c>
      <c r="J7" s="27">
        <v>0.63888888888888884</v>
      </c>
      <c r="K7" s="27">
        <v>0.63888888888888884</v>
      </c>
      <c r="L7" s="27">
        <v>0.63888888888888884</v>
      </c>
      <c r="M7" s="27">
        <v>0.63888888888888884</v>
      </c>
      <c r="N7" s="27">
        <v>0.63888888888888884</v>
      </c>
      <c r="O7" s="27">
        <v>0.63888888888888884</v>
      </c>
      <c r="P7" s="27">
        <v>0.63888888888888884</v>
      </c>
      <c r="Q7" s="27">
        <f t="shared" ref="Q7:AG7" si="0">P7</f>
        <v>0.63888888888888884</v>
      </c>
      <c r="R7" s="27">
        <v>0.66111111111111109</v>
      </c>
      <c r="S7" s="27">
        <f t="shared" si="0"/>
        <v>0.66111111111111109</v>
      </c>
      <c r="T7" s="27">
        <f t="shared" si="0"/>
        <v>0.66111111111111109</v>
      </c>
      <c r="U7" s="27">
        <f t="shared" si="0"/>
        <v>0.66111111111111109</v>
      </c>
      <c r="V7" s="27">
        <f t="shared" si="0"/>
        <v>0.66111111111111109</v>
      </c>
      <c r="W7" s="27">
        <f t="shared" si="0"/>
        <v>0.66111111111111109</v>
      </c>
      <c r="X7" s="27">
        <f t="shared" si="0"/>
        <v>0.66111111111111109</v>
      </c>
      <c r="Y7" s="27">
        <f t="shared" si="0"/>
        <v>0.66111111111111109</v>
      </c>
      <c r="Z7" s="27">
        <f t="shared" si="0"/>
        <v>0.66111111111111109</v>
      </c>
      <c r="AA7" s="27">
        <f t="shared" si="0"/>
        <v>0.66111111111111109</v>
      </c>
      <c r="AB7" s="27">
        <f t="shared" si="0"/>
        <v>0.66111111111111109</v>
      </c>
      <c r="AC7" s="27">
        <f t="shared" si="0"/>
        <v>0.66111111111111109</v>
      </c>
      <c r="AD7" s="27">
        <f t="shared" si="0"/>
        <v>0.66111111111111109</v>
      </c>
      <c r="AE7" s="27">
        <f t="shared" si="0"/>
        <v>0.66111111111111109</v>
      </c>
      <c r="AF7" s="27">
        <f t="shared" si="0"/>
        <v>0.66111111111111109</v>
      </c>
      <c r="AG7" s="27">
        <f t="shared" si="0"/>
        <v>0.66111111111111109</v>
      </c>
    </row>
    <row r="8" spans="1:33" ht="15.75" x14ac:dyDescent="0.25">
      <c r="A8" s="63" t="s">
        <v>9</v>
      </c>
      <c r="B8" s="77" t="s">
        <v>15</v>
      </c>
      <c r="C8" s="26">
        <v>110</v>
      </c>
      <c r="D8" s="26">
        <v>110</v>
      </c>
      <c r="E8" s="26">
        <v>110</v>
      </c>
      <c r="F8" s="26">
        <v>110</v>
      </c>
      <c r="G8" s="26">
        <v>110</v>
      </c>
      <c r="H8" s="26">
        <v>110</v>
      </c>
      <c r="I8" s="26">
        <v>110</v>
      </c>
      <c r="J8" s="26">
        <v>110</v>
      </c>
      <c r="K8" s="26">
        <v>110</v>
      </c>
      <c r="L8" s="26">
        <v>110</v>
      </c>
      <c r="M8" s="26">
        <v>110</v>
      </c>
      <c r="N8" s="26">
        <v>110</v>
      </c>
      <c r="O8" s="26">
        <v>110</v>
      </c>
      <c r="P8" s="26">
        <v>110</v>
      </c>
      <c r="Q8" s="26">
        <v>110</v>
      </c>
      <c r="R8" s="26">
        <v>110</v>
      </c>
      <c r="S8" s="26">
        <v>110</v>
      </c>
      <c r="T8" s="26">
        <v>110</v>
      </c>
      <c r="U8" s="26">
        <v>110</v>
      </c>
      <c r="V8" s="26">
        <v>110</v>
      </c>
      <c r="W8" s="26">
        <v>110</v>
      </c>
      <c r="X8" s="26">
        <v>110</v>
      </c>
      <c r="Y8" s="26">
        <v>110</v>
      </c>
      <c r="Z8" s="26">
        <v>110</v>
      </c>
      <c r="AA8" s="26">
        <v>110</v>
      </c>
      <c r="AB8" s="26">
        <v>110</v>
      </c>
      <c r="AC8" s="26">
        <v>110</v>
      </c>
      <c r="AD8" s="26">
        <v>110</v>
      </c>
      <c r="AE8" s="26">
        <v>110</v>
      </c>
      <c r="AF8" s="26">
        <v>110</v>
      </c>
      <c r="AG8" s="22">
        <v>110</v>
      </c>
    </row>
    <row r="9" spans="1:33" ht="15.75" x14ac:dyDescent="0.25">
      <c r="A9" s="29" t="s">
        <v>10</v>
      </c>
      <c r="B9" s="64" t="s">
        <v>15</v>
      </c>
      <c r="C9" s="27">
        <v>0.80208333333333337</v>
      </c>
      <c r="D9" s="27">
        <v>0.80208333333333337</v>
      </c>
      <c r="E9" s="27">
        <v>0.80208333333333337</v>
      </c>
      <c r="F9" s="27">
        <v>0.80208333333333337</v>
      </c>
      <c r="G9" s="27">
        <v>0.80208333333333337</v>
      </c>
      <c r="H9" s="27">
        <v>0.80208333333333337</v>
      </c>
      <c r="I9" s="27">
        <v>0.80208333333333337</v>
      </c>
      <c r="J9" s="27">
        <v>0.80208333333333337</v>
      </c>
      <c r="K9" s="27">
        <v>0.80208333333333337</v>
      </c>
      <c r="L9" s="27">
        <v>0.80208333333333337</v>
      </c>
      <c r="M9" s="27">
        <v>0.80208333333333337</v>
      </c>
      <c r="N9" s="27">
        <v>0.80208333333333337</v>
      </c>
      <c r="O9" s="27">
        <v>0.80208333333333337</v>
      </c>
      <c r="P9" s="27">
        <v>0.80208333333333337</v>
      </c>
      <c r="Q9" s="27">
        <v>0.80347222222222225</v>
      </c>
      <c r="R9" s="27">
        <f t="shared" ref="R9:AG9" si="1">Q9</f>
        <v>0.80347222222222225</v>
      </c>
      <c r="S9" s="27">
        <f t="shared" si="1"/>
        <v>0.80347222222222225</v>
      </c>
      <c r="T9" s="27">
        <f t="shared" si="1"/>
        <v>0.80347222222222225</v>
      </c>
      <c r="U9" s="27">
        <f t="shared" si="1"/>
        <v>0.80347222222222225</v>
      </c>
      <c r="V9" s="27">
        <f t="shared" si="1"/>
        <v>0.80347222222222225</v>
      </c>
      <c r="W9" s="27">
        <f t="shared" si="1"/>
        <v>0.80347222222222225</v>
      </c>
      <c r="X9" s="27">
        <f t="shared" si="1"/>
        <v>0.80347222222222225</v>
      </c>
      <c r="Y9" s="27">
        <f t="shared" si="1"/>
        <v>0.80347222222222225</v>
      </c>
      <c r="Z9" s="27">
        <f t="shared" si="1"/>
        <v>0.80347222222222225</v>
      </c>
      <c r="AA9" s="27">
        <f t="shared" si="1"/>
        <v>0.80347222222222225</v>
      </c>
      <c r="AB9" s="27">
        <f t="shared" si="1"/>
        <v>0.80347222222222225</v>
      </c>
      <c r="AC9" s="27">
        <f t="shared" si="1"/>
        <v>0.80347222222222225</v>
      </c>
      <c r="AD9" s="27">
        <f t="shared" si="1"/>
        <v>0.80347222222222225</v>
      </c>
      <c r="AE9" s="27">
        <f t="shared" si="1"/>
        <v>0.80347222222222225</v>
      </c>
      <c r="AF9" s="27">
        <f t="shared" si="1"/>
        <v>0.80347222222222225</v>
      </c>
      <c r="AG9" s="27">
        <f t="shared" si="1"/>
        <v>0.80347222222222225</v>
      </c>
    </row>
    <row r="10" spans="1:33" ht="16.5" thickBot="1" x14ac:dyDescent="0.3">
      <c r="A10" s="31" t="s">
        <v>11</v>
      </c>
      <c r="B10" s="78" t="s">
        <v>15</v>
      </c>
      <c r="C10" s="35">
        <f>SUM(C9-C7)</f>
        <v>0.16319444444444453</v>
      </c>
      <c r="D10" s="35">
        <f t="shared" ref="D10:AG10" si="2">SUM(D9-D7)</f>
        <v>0.16319444444444453</v>
      </c>
      <c r="E10" s="35">
        <f t="shared" si="2"/>
        <v>0.16319444444444453</v>
      </c>
      <c r="F10" s="35">
        <f t="shared" si="2"/>
        <v>0.16319444444444453</v>
      </c>
      <c r="G10" s="35">
        <f t="shared" si="2"/>
        <v>0.16319444444444453</v>
      </c>
      <c r="H10" s="35">
        <f t="shared" si="2"/>
        <v>0.16319444444444453</v>
      </c>
      <c r="I10" s="35">
        <f t="shared" si="2"/>
        <v>0.16319444444444453</v>
      </c>
      <c r="J10" s="35">
        <f t="shared" si="2"/>
        <v>0.16319444444444453</v>
      </c>
      <c r="K10" s="35">
        <f t="shared" si="2"/>
        <v>0.16319444444444453</v>
      </c>
      <c r="L10" s="35">
        <f t="shared" si="2"/>
        <v>0.16319444444444453</v>
      </c>
      <c r="M10" s="35">
        <f t="shared" si="2"/>
        <v>0.16319444444444453</v>
      </c>
      <c r="N10" s="35">
        <f t="shared" si="2"/>
        <v>0.16319444444444453</v>
      </c>
      <c r="O10" s="35">
        <f t="shared" si="2"/>
        <v>0.16319444444444453</v>
      </c>
      <c r="P10" s="35">
        <f t="shared" si="2"/>
        <v>0.16319444444444453</v>
      </c>
      <c r="Q10" s="35">
        <f t="shared" si="2"/>
        <v>0.16458333333333341</v>
      </c>
      <c r="R10" s="35">
        <f t="shared" si="2"/>
        <v>0.14236111111111116</v>
      </c>
      <c r="S10" s="35">
        <f t="shared" si="2"/>
        <v>0.14236111111111116</v>
      </c>
      <c r="T10" s="35">
        <f t="shared" si="2"/>
        <v>0.14236111111111116</v>
      </c>
      <c r="U10" s="35">
        <f t="shared" si="2"/>
        <v>0.14236111111111116</v>
      </c>
      <c r="V10" s="35">
        <f t="shared" si="2"/>
        <v>0.14236111111111116</v>
      </c>
      <c r="W10" s="35">
        <f t="shared" si="2"/>
        <v>0.14236111111111116</v>
      </c>
      <c r="X10" s="35">
        <f t="shared" si="2"/>
        <v>0.14236111111111116</v>
      </c>
      <c r="Y10" s="35">
        <f t="shared" si="2"/>
        <v>0.14236111111111116</v>
      </c>
      <c r="Z10" s="35">
        <f t="shared" si="2"/>
        <v>0.14236111111111116</v>
      </c>
      <c r="AA10" s="35">
        <f t="shared" si="2"/>
        <v>0.14236111111111116</v>
      </c>
      <c r="AB10" s="35">
        <f t="shared" si="2"/>
        <v>0.14236111111111116</v>
      </c>
      <c r="AC10" s="35">
        <f t="shared" si="2"/>
        <v>0.14236111111111116</v>
      </c>
      <c r="AD10" s="35">
        <f t="shared" si="2"/>
        <v>0.14236111111111116</v>
      </c>
      <c r="AE10" s="35">
        <f t="shared" si="2"/>
        <v>0.14236111111111116</v>
      </c>
      <c r="AF10" s="35">
        <f t="shared" si="2"/>
        <v>0.14236111111111116</v>
      </c>
      <c r="AG10" s="35">
        <f t="shared" si="2"/>
        <v>0.14236111111111116</v>
      </c>
    </row>
  </sheetData>
  <mergeCells count="5">
    <mergeCell ref="I1:V1"/>
    <mergeCell ref="C2:AG2"/>
    <mergeCell ref="A3:A4"/>
    <mergeCell ref="B3:B4"/>
    <mergeCell ref="A5:A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</vt:i4>
      </vt:variant>
    </vt:vector>
  </HeadingPairs>
  <TitlesOfParts>
    <vt:vector size="8" baseType="lpstr">
      <vt:lpstr>Мангыстау</vt:lpstr>
      <vt:lpstr>Бейнеу</vt:lpstr>
      <vt:lpstr>Атырау</vt:lpstr>
      <vt:lpstr>Макат</vt:lpstr>
      <vt:lpstr>Актобе</vt:lpstr>
      <vt:lpstr>Атырау!Область_печати</vt:lpstr>
      <vt:lpstr>Бейнеу!Область_печати</vt:lpstr>
      <vt:lpstr>Макат!Область_печати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2024-12-10T06:54:51Z</dcterms:modified>
</cp:coreProperties>
</file>